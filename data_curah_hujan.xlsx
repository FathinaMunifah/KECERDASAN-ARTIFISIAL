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SEMESTER 5\AI\"/>
    </mc:Choice>
  </mc:AlternateContent>
  <xr:revisionPtr revIDLastSave="0" documentId="13_ncr:1_{2C13F661-7C39-4189-B37D-4EEF3853A84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1" r:id="rId1"/>
    <sheet name="Ringkasa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4" i="2"/>
  <c r="B5" i="2" s="1"/>
  <c r="B3" i="2"/>
  <c r="B2" i="2"/>
  <c r="F164" i="1"/>
  <c r="E164" i="1"/>
  <c r="C164" i="1"/>
  <c r="F163" i="1"/>
  <c r="E163" i="1"/>
  <c r="C163" i="1"/>
  <c r="F162" i="1"/>
  <c r="E162" i="1"/>
  <c r="C162" i="1"/>
  <c r="F161" i="1"/>
  <c r="E161" i="1"/>
  <c r="C161" i="1"/>
  <c r="F160" i="1"/>
  <c r="E160" i="1"/>
  <c r="C160" i="1"/>
  <c r="F159" i="1"/>
  <c r="E159" i="1"/>
  <c r="C159" i="1"/>
  <c r="F158" i="1"/>
  <c r="E158" i="1"/>
  <c r="C158" i="1"/>
  <c r="F157" i="1"/>
  <c r="E157" i="1"/>
  <c r="C157" i="1"/>
  <c r="F156" i="1"/>
  <c r="E156" i="1"/>
  <c r="C156" i="1"/>
  <c r="F155" i="1"/>
  <c r="E155" i="1"/>
  <c r="C155" i="1"/>
  <c r="F154" i="1"/>
  <c r="E154" i="1"/>
  <c r="C154" i="1"/>
  <c r="F153" i="1"/>
  <c r="E153" i="1"/>
  <c r="C153" i="1"/>
  <c r="F152" i="1"/>
  <c r="E152" i="1"/>
  <c r="C152" i="1"/>
  <c r="F151" i="1"/>
  <c r="E151" i="1"/>
  <c r="C151" i="1"/>
  <c r="F150" i="1"/>
  <c r="E150" i="1"/>
  <c r="C150" i="1"/>
  <c r="F149" i="1"/>
  <c r="E149" i="1"/>
  <c r="C149" i="1"/>
  <c r="F148" i="1"/>
  <c r="E148" i="1"/>
  <c r="C148" i="1"/>
  <c r="F147" i="1"/>
  <c r="E147" i="1"/>
  <c r="C147" i="1"/>
  <c r="F146" i="1"/>
  <c r="E146" i="1"/>
  <c r="C146" i="1"/>
  <c r="F145" i="1"/>
  <c r="E145" i="1"/>
  <c r="C145" i="1"/>
  <c r="F144" i="1"/>
  <c r="E144" i="1"/>
  <c r="C144" i="1"/>
  <c r="F143" i="1"/>
  <c r="E143" i="1"/>
  <c r="C143" i="1"/>
  <c r="F142" i="1"/>
  <c r="E142" i="1"/>
  <c r="C142" i="1"/>
  <c r="F141" i="1"/>
  <c r="E141" i="1"/>
  <c r="C141" i="1"/>
  <c r="F140" i="1"/>
  <c r="E140" i="1"/>
  <c r="C140" i="1"/>
  <c r="F139" i="1"/>
  <c r="E139" i="1"/>
  <c r="C139" i="1"/>
  <c r="F138" i="1"/>
  <c r="E138" i="1"/>
  <c r="C138" i="1"/>
  <c r="F137" i="1"/>
  <c r="E137" i="1"/>
  <c r="C137" i="1"/>
  <c r="F136" i="1"/>
  <c r="E136" i="1"/>
  <c r="C136" i="1"/>
  <c r="F135" i="1"/>
  <c r="E135" i="1"/>
  <c r="C135" i="1"/>
  <c r="F134" i="1"/>
  <c r="E134" i="1"/>
  <c r="C134" i="1"/>
  <c r="F133" i="1"/>
  <c r="E133" i="1"/>
  <c r="C133" i="1"/>
  <c r="F132" i="1"/>
  <c r="E132" i="1"/>
  <c r="C132" i="1"/>
  <c r="F131" i="1"/>
  <c r="E131" i="1"/>
  <c r="C131" i="1"/>
  <c r="F130" i="1"/>
  <c r="E130" i="1"/>
  <c r="C130" i="1"/>
  <c r="F129" i="1"/>
  <c r="E129" i="1"/>
  <c r="C129" i="1"/>
  <c r="F128" i="1"/>
  <c r="E128" i="1"/>
  <c r="C128" i="1"/>
  <c r="F127" i="1"/>
  <c r="E127" i="1"/>
  <c r="C127" i="1"/>
  <c r="F126" i="1"/>
  <c r="E126" i="1"/>
  <c r="C126" i="1"/>
  <c r="F125" i="1"/>
  <c r="E125" i="1"/>
  <c r="C125" i="1"/>
  <c r="F124" i="1"/>
  <c r="E124" i="1"/>
  <c r="C124" i="1"/>
  <c r="F123" i="1"/>
  <c r="E123" i="1"/>
  <c r="C123" i="1"/>
  <c r="F122" i="1"/>
  <c r="E122" i="1"/>
  <c r="C122" i="1"/>
  <c r="F121" i="1"/>
  <c r="E121" i="1"/>
  <c r="C121" i="1"/>
  <c r="F120" i="1"/>
  <c r="E120" i="1"/>
  <c r="C120" i="1"/>
  <c r="F119" i="1"/>
  <c r="E119" i="1"/>
  <c r="C119" i="1"/>
  <c r="F118" i="1"/>
  <c r="E118" i="1"/>
  <c r="C118" i="1"/>
  <c r="F117" i="1"/>
  <c r="E117" i="1"/>
  <c r="C117" i="1"/>
  <c r="F116" i="1"/>
  <c r="E116" i="1"/>
  <c r="C116" i="1"/>
  <c r="F115" i="1"/>
  <c r="E115" i="1"/>
  <c r="C115" i="1"/>
  <c r="F114" i="1"/>
  <c r="E114" i="1"/>
  <c r="C114" i="1"/>
  <c r="F113" i="1"/>
  <c r="E113" i="1"/>
  <c r="C113" i="1"/>
  <c r="F112" i="1"/>
  <c r="E112" i="1"/>
  <c r="C112" i="1"/>
  <c r="F111" i="1"/>
  <c r="E111" i="1"/>
  <c r="C111" i="1"/>
  <c r="F110" i="1"/>
  <c r="E110" i="1"/>
  <c r="C110" i="1"/>
  <c r="F109" i="1"/>
  <c r="E109" i="1"/>
  <c r="C109" i="1"/>
  <c r="F108" i="1"/>
  <c r="E108" i="1"/>
  <c r="C108" i="1"/>
  <c r="F107" i="1"/>
  <c r="E107" i="1"/>
  <c r="C107" i="1"/>
  <c r="F106" i="1"/>
  <c r="E106" i="1"/>
  <c r="C106" i="1"/>
  <c r="F105" i="1"/>
  <c r="E105" i="1"/>
  <c r="C105" i="1"/>
  <c r="F104" i="1"/>
  <c r="E104" i="1"/>
  <c r="C104" i="1"/>
  <c r="F103" i="1"/>
  <c r="E103" i="1"/>
  <c r="C103" i="1"/>
  <c r="F102" i="1"/>
  <c r="E102" i="1"/>
  <c r="C102" i="1"/>
  <c r="F101" i="1"/>
  <c r="E101" i="1"/>
  <c r="C101" i="1"/>
  <c r="F100" i="1"/>
  <c r="E100" i="1"/>
  <c r="C100" i="1"/>
  <c r="F99" i="1"/>
  <c r="E99" i="1"/>
  <c r="C99" i="1"/>
  <c r="F98" i="1"/>
  <c r="E98" i="1"/>
  <c r="C98" i="1"/>
  <c r="F97" i="1"/>
  <c r="E97" i="1"/>
  <c r="C97" i="1"/>
  <c r="F96" i="1"/>
  <c r="E96" i="1"/>
  <c r="C96" i="1"/>
  <c r="F95" i="1"/>
  <c r="E95" i="1"/>
  <c r="C95" i="1"/>
  <c r="F94" i="1"/>
  <c r="E94" i="1"/>
  <c r="C94" i="1"/>
  <c r="F93" i="1"/>
  <c r="E93" i="1"/>
  <c r="C93" i="1"/>
  <c r="F92" i="1"/>
  <c r="E92" i="1"/>
  <c r="C92" i="1"/>
  <c r="F91" i="1"/>
  <c r="E91" i="1"/>
  <c r="C91" i="1"/>
  <c r="F90" i="1"/>
  <c r="E90" i="1"/>
  <c r="C90" i="1"/>
  <c r="F89" i="1"/>
  <c r="E89" i="1"/>
  <c r="C89" i="1"/>
  <c r="F88" i="1"/>
  <c r="E88" i="1"/>
  <c r="C88" i="1"/>
  <c r="F87" i="1"/>
  <c r="E87" i="1"/>
  <c r="C87" i="1"/>
  <c r="F86" i="1"/>
  <c r="E86" i="1"/>
  <c r="C86" i="1"/>
  <c r="F85" i="1"/>
  <c r="E85" i="1"/>
  <c r="C85" i="1"/>
  <c r="F84" i="1"/>
  <c r="E84" i="1"/>
  <c r="C84" i="1"/>
  <c r="F83" i="1"/>
  <c r="E83" i="1"/>
  <c r="C83" i="1"/>
  <c r="F82" i="1"/>
  <c r="E82" i="1"/>
  <c r="C82" i="1"/>
  <c r="F81" i="1"/>
  <c r="E81" i="1"/>
  <c r="C81" i="1"/>
  <c r="F80" i="1"/>
  <c r="E80" i="1"/>
  <c r="C80" i="1"/>
  <c r="F79" i="1"/>
  <c r="E79" i="1"/>
  <c r="C79" i="1"/>
  <c r="F78" i="1"/>
  <c r="E78" i="1"/>
  <c r="C78" i="1"/>
  <c r="F77" i="1"/>
  <c r="E77" i="1"/>
  <c r="C77" i="1"/>
  <c r="F76" i="1"/>
  <c r="E76" i="1"/>
  <c r="C76" i="1"/>
  <c r="F75" i="1"/>
  <c r="E75" i="1"/>
  <c r="C75" i="1"/>
  <c r="F74" i="1"/>
  <c r="E74" i="1"/>
  <c r="C74" i="1"/>
  <c r="F73" i="1"/>
  <c r="E73" i="1"/>
  <c r="C73" i="1"/>
  <c r="F72" i="1"/>
  <c r="E72" i="1"/>
  <c r="C72" i="1"/>
  <c r="F71" i="1"/>
  <c r="E71" i="1"/>
  <c r="C71" i="1"/>
  <c r="F70" i="1"/>
  <c r="E70" i="1"/>
  <c r="C70" i="1"/>
  <c r="F69" i="1"/>
  <c r="E69" i="1"/>
  <c r="C69" i="1"/>
  <c r="F68" i="1"/>
  <c r="E68" i="1"/>
  <c r="C68" i="1"/>
  <c r="F67" i="1"/>
  <c r="E67" i="1"/>
  <c r="C67" i="1"/>
  <c r="F66" i="1"/>
  <c r="E66" i="1"/>
  <c r="C66" i="1"/>
  <c r="F65" i="1"/>
  <c r="E65" i="1"/>
  <c r="C65" i="1"/>
  <c r="F64" i="1"/>
  <c r="E64" i="1"/>
  <c r="C64" i="1"/>
  <c r="F63" i="1"/>
  <c r="E63" i="1"/>
  <c r="C63" i="1"/>
  <c r="F62" i="1"/>
  <c r="E62" i="1"/>
  <c r="C62" i="1"/>
  <c r="F61" i="1"/>
  <c r="E61" i="1"/>
  <c r="C61" i="1"/>
  <c r="F60" i="1"/>
  <c r="E60" i="1"/>
  <c r="C60" i="1"/>
  <c r="F59" i="1"/>
  <c r="E59" i="1"/>
  <c r="C59" i="1"/>
  <c r="F58" i="1"/>
  <c r="E58" i="1"/>
  <c r="C58" i="1"/>
  <c r="F57" i="1"/>
  <c r="E57" i="1"/>
  <c r="C57" i="1"/>
  <c r="F56" i="1"/>
  <c r="E56" i="1"/>
  <c r="C56" i="1"/>
  <c r="F55" i="1"/>
  <c r="E55" i="1"/>
  <c r="C55" i="1"/>
  <c r="F54" i="1"/>
  <c r="E54" i="1"/>
  <c r="C54" i="1"/>
  <c r="F53" i="1"/>
  <c r="E53" i="1"/>
  <c r="C53" i="1"/>
  <c r="F52" i="1"/>
  <c r="E52" i="1"/>
  <c r="C52" i="1"/>
  <c r="F51" i="1"/>
  <c r="E51" i="1"/>
  <c r="C51" i="1"/>
  <c r="F50" i="1"/>
  <c r="E50" i="1"/>
  <c r="C50" i="1"/>
  <c r="F49" i="1"/>
  <c r="E49" i="1"/>
  <c r="C49" i="1"/>
  <c r="F48" i="1"/>
  <c r="E48" i="1"/>
  <c r="C48" i="1"/>
  <c r="F47" i="1"/>
  <c r="E47" i="1"/>
  <c r="C47" i="1"/>
  <c r="F46" i="1"/>
  <c r="E46" i="1"/>
  <c r="C46" i="1"/>
  <c r="F45" i="1"/>
  <c r="E45" i="1"/>
  <c r="C45" i="1"/>
  <c r="F44" i="1"/>
  <c r="E44" i="1"/>
  <c r="C44" i="1"/>
  <c r="F43" i="1"/>
  <c r="E43" i="1"/>
  <c r="C43" i="1"/>
  <c r="F42" i="1"/>
  <c r="E42" i="1"/>
  <c r="C42" i="1"/>
  <c r="F41" i="1"/>
  <c r="E41" i="1"/>
  <c r="C41" i="1"/>
  <c r="F40" i="1"/>
  <c r="E40" i="1"/>
  <c r="C40" i="1"/>
  <c r="F39" i="1"/>
  <c r="E39" i="1"/>
  <c r="C39" i="1"/>
  <c r="F38" i="1"/>
  <c r="E38" i="1"/>
  <c r="C38" i="1"/>
  <c r="F37" i="1"/>
  <c r="E37" i="1"/>
  <c r="C37" i="1"/>
  <c r="F36" i="1"/>
  <c r="E36" i="1"/>
  <c r="C36" i="1"/>
  <c r="F35" i="1"/>
  <c r="E35" i="1"/>
  <c r="C35" i="1"/>
  <c r="F34" i="1"/>
  <c r="E34" i="1"/>
  <c r="C34" i="1"/>
  <c r="F33" i="1"/>
  <c r="E33" i="1"/>
  <c r="C33" i="1"/>
  <c r="F32" i="1"/>
  <c r="E32" i="1"/>
  <c r="C32" i="1"/>
  <c r="F31" i="1"/>
  <c r="E31" i="1"/>
  <c r="C31" i="1"/>
  <c r="F30" i="1"/>
  <c r="E30" i="1"/>
  <c r="C30" i="1"/>
  <c r="F29" i="1"/>
  <c r="E29" i="1"/>
  <c r="C29" i="1"/>
  <c r="F28" i="1"/>
  <c r="E28" i="1"/>
  <c r="C28" i="1"/>
  <c r="F27" i="1"/>
  <c r="E27" i="1"/>
  <c r="C27" i="1"/>
  <c r="F26" i="1"/>
  <c r="E26" i="1"/>
  <c r="C26" i="1"/>
  <c r="F25" i="1"/>
  <c r="E25" i="1"/>
  <c r="C25" i="1"/>
  <c r="F24" i="1"/>
  <c r="E24" i="1"/>
  <c r="C24" i="1"/>
  <c r="F23" i="1"/>
  <c r="E23" i="1"/>
  <c r="C23" i="1"/>
  <c r="F22" i="1"/>
  <c r="E22" i="1"/>
  <c r="C22" i="1"/>
  <c r="F21" i="1"/>
  <c r="E21" i="1"/>
  <c r="C21" i="1"/>
  <c r="F20" i="1"/>
  <c r="E20" i="1"/>
  <c r="C20" i="1"/>
  <c r="F19" i="1"/>
  <c r="E19" i="1"/>
  <c r="C19" i="1"/>
  <c r="F18" i="1"/>
  <c r="E18" i="1"/>
  <c r="C18" i="1"/>
  <c r="F17" i="1"/>
  <c r="E17" i="1"/>
  <c r="C17" i="1"/>
  <c r="F16" i="1"/>
  <c r="E16" i="1"/>
  <c r="C16" i="1"/>
  <c r="F15" i="1"/>
  <c r="E15" i="1"/>
  <c r="C15" i="1"/>
  <c r="F14" i="1"/>
  <c r="E14" i="1"/>
  <c r="C14" i="1"/>
  <c r="F13" i="1"/>
  <c r="E13" i="1"/>
  <c r="C13" i="1"/>
  <c r="F12" i="1"/>
  <c r="E12" i="1"/>
  <c r="C12" i="1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C5" i="1"/>
  <c r="F4" i="1"/>
  <c r="E4" i="1"/>
  <c r="C4" i="1"/>
  <c r="F3" i="1"/>
  <c r="E3" i="1"/>
  <c r="C3" i="1"/>
  <c r="F2" i="1"/>
  <c r="E2" i="1"/>
  <c r="C2" i="1"/>
  <c r="D18" i="2" s="1"/>
  <c r="D13" i="2" l="1"/>
  <c r="B14" i="2"/>
  <c r="C14" i="2" s="1"/>
  <c r="D16" i="2"/>
  <c r="B17" i="2"/>
  <c r="D14" i="2"/>
  <c r="B15" i="2"/>
  <c r="D17" i="2"/>
  <c r="B18" i="2"/>
  <c r="C18" i="2" s="1"/>
  <c r="B13" i="2"/>
  <c r="C13" i="2" s="1"/>
  <c r="D15" i="2"/>
  <c r="B16" i="2"/>
  <c r="C16" i="2" s="1"/>
  <c r="C15" i="2" l="1"/>
  <c r="C17" i="2"/>
</calcChain>
</file>

<file path=xl/sharedStrings.xml><?xml version="1.0" encoding="utf-8"?>
<sst xmlns="http://schemas.openxmlformats.org/spreadsheetml/2006/main" count="28" uniqueCount="26">
  <si>
    <t>YEAR</t>
  </si>
  <si>
    <t>DOY</t>
  </si>
  <si>
    <t>Tanggal</t>
  </si>
  <si>
    <t>PRECTOTCORR (mm/hari)</t>
  </si>
  <si>
    <t>Kelas Intensitas</t>
  </si>
  <si>
    <t>MA 7 Hari (mm)</t>
  </si>
  <si>
    <t>Statistik</t>
  </si>
  <si>
    <t>Nilai</t>
  </si>
  <si>
    <t>Total (mm)</t>
  </si>
  <si>
    <t>Rata-rata (mm/hari)</t>
  </si>
  <si>
    <t>Maksimum (mm)</t>
  </si>
  <si>
    <t>Tanggal maksimum</t>
  </si>
  <si>
    <t>Jumlah data (hari)</t>
  </si>
  <si>
    <t>Hari Kering (&lt;1 mm)</t>
  </si>
  <si>
    <t>Hari Ringan (1-5 mm)</t>
  </si>
  <si>
    <t>Hari Sedang (5-20 mm)</t>
  </si>
  <si>
    <t>Hari Lebat (&gt;20 mm)</t>
  </si>
  <si>
    <t>Bulan</t>
  </si>
  <si>
    <t>Jumlah hari</t>
  </si>
  <si>
    <t>Januari</t>
  </si>
  <si>
    <t>Februari</t>
  </si>
  <si>
    <t>Maret</t>
  </si>
  <si>
    <t>April</t>
  </si>
  <si>
    <t>Mei</t>
  </si>
  <si>
    <t>Juni (1-12)</t>
  </si>
  <si>
    <t>Sumber: NASA POWER (MERRA-2), lat -1.3734, lon 120.7703, elevasi 913.29 m, 1 Jan-12 Jun 2019. Ambang kelas: &lt;1, 1-5, 5-20, &gt;20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</si>
</sst>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369A1"/>
        <bgColor rgb="FF008080"/>
      </patternFill>
    </fill>
    <fill>
      <patternFill patternType="solid">
        <fgColor rgb="FF388600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1" fillId="2" borderId="0" xfId="0" applyFont="1" applyFill="1"/>
    <xf numFmtId="165" fontId="2" fillId="0" borderId="0" xfId="0" applyNumberFormat="1" applyFont="1"/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zoomScaleNormal="100" workbookViewId="0">
      <pane ySplit="1" topLeftCell="A2" activePane="bottomLeft" state="frozen"/>
      <selection pane="bottomLeft" activeCell="H10" sqref="H10"/>
    </sheetView>
  </sheetViews>
  <sheetFormatPr defaultColWidth="8.6328125" defaultRowHeight="14.5" x14ac:dyDescent="0.35"/>
  <cols>
    <col min="1" max="2" width="8" customWidth="1"/>
    <col min="3" max="3" width="14" customWidth="1"/>
    <col min="4" max="4" width="22" customWidth="1"/>
    <col min="5" max="6" width="16" customWidth="1"/>
  </cols>
  <sheetData>
    <row r="1" spans="1:6" ht="26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1">
        <v>2019</v>
      </c>
      <c r="B2" s="1">
        <v>1</v>
      </c>
      <c r="C2" s="2">
        <f t="shared" ref="C2:C33" si="0">DATE(A2,1,B2)</f>
        <v>43466</v>
      </c>
      <c r="D2" s="1">
        <v>5.15</v>
      </c>
      <c r="E2" s="1" t="str">
        <f t="shared" ref="E2:E33" si="1">IF(D2&lt;1,"Kering",IF(D2&lt;=5,"Ringan",IF(D2&lt;=20,"Sedang","Lebat")))</f>
        <v>Sedang</v>
      </c>
      <c r="F2" s="3">
        <f>AVERAGE(D2:D2)</f>
        <v>5.15</v>
      </c>
    </row>
    <row r="3" spans="1:6" x14ac:dyDescent="0.35">
      <c r="A3" s="1">
        <v>2019</v>
      </c>
      <c r="B3" s="1">
        <v>2</v>
      </c>
      <c r="C3" s="2">
        <f t="shared" si="0"/>
        <v>43467</v>
      </c>
      <c r="D3" s="1">
        <v>18.170000000000002</v>
      </c>
      <c r="E3" s="1" t="str">
        <f t="shared" si="1"/>
        <v>Sedang</v>
      </c>
      <c r="F3" s="3">
        <f>AVERAGE(D2:D3)</f>
        <v>11.66</v>
      </c>
    </row>
    <row r="4" spans="1:6" x14ac:dyDescent="0.35">
      <c r="A4" s="1">
        <v>2019</v>
      </c>
      <c r="B4" s="1">
        <v>3</v>
      </c>
      <c r="C4" s="2">
        <f t="shared" si="0"/>
        <v>43468</v>
      </c>
      <c r="D4" s="1">
        <v>4.3</v>
      </c>
      <c r="E4" s="1" t="str">
        <f t="shared" si="1"/>
        <v>Ringan</v>
      </c>
      <c r="F4" s="3">
        <f>AVERAGE(D2:D4)</f>
        <v>9.206666666666667</v>
      </c>
    </row>
    <row r="5" spans="1:6" x14ac:dyDescent="0.35">
      <c r="A5" s="1">
        <v>2019</v>
      </c>
      <c r="B5" s="1">
        <v>4</v>
      </c>
      <c r="C5" s="2">
        <f t="shared" si="0"/>
        <v>43469</v>
      </c>
      <c r="D5" s="1">
        <v>5.05</v>
      </c>
      <c r="E5" s="1" t="str">
        <f t="shared" si="1"/>
        <v>Sedang</v>
      </c>
      <c r="F5" s="3">
        <f>AVERAGE(D2:D5)</f>
        <v>8.1675000000000004</v>
      </c>
    </row>
    <row r="6" spans="1:6" x14ac:dyDescent="0.35">
      <c r="A6" s="1">
        <v>2019</v>
      </c>
      <c r="B6" s="1">
        <v>5</v>
      </c>
      <c r="C6" s="2">
        <f t="shared" si="0"/>
        <v>43470</v>
      </c>
      <c r="D6" s="1">
        <v>0.97</v>
      </c>
      <c r="E6" s="1" t="str">
        <f t="shared" si="1"/>
        <v>Kering</v>
      </c>
      <c r="F6" s="3">
        <f>AVERAGE(D2:D6)</f>
        <v>6.7279999999999998</v>
      </c>
    </row>
    <row r="7" spans="1:6" x14ac:dyDescent="0.35">
      <c r="A7" s="1">
        <v>2019</v>
      </c>
      <c r="B7" s="1">
        <v>6</v>
      </c>
      <c r="C7" s="2">
        <f t="shared" si="0"/>
        <v>43471</v>
      </c>
      <c r="D7" s="1">
        <v>0.15</v>
      </c>
      <c r="E7" s="1" t="str">
        <f t="shared" si="1"/>
        <v>Kering</v>
      </c>
      <c r="F7" s="3">
        <f>AVERAGE(D2:D7)</f>
        <v>5.6316666666666668</v>
      </c>
    </row>
    <row r="8" spans="1:6" x14ac:dyDescent="0.35">
      <c r="A8" s="1">
        <v>2019</v>
      </c>
      <c r="B8" s="1">
        <v>7</v>
      </c>
      <c r="C8" s="2">
        <f t="shared" si="0"/>
        <v>43472</v>
      </c>
      <c r="D8" s="1">
        <v>11.11</v>
      </c>
      <c r="E8" s="1" t="str">
        <f t="shared" si="1"/>
        <v>Sedang</v>
      </c>
      <c r="F8" s="3">
        <f t="shared" ref="F8:F39" si="2">AVERAGE(D2:D8)</f>
        <v>6.4142857142857137</v>
      </c>
    </row>
    <row r="9" spans="1:6" x14ac:dyDescent="0.35">
      <c r="A9" s="1">
        <v>2019</v>
      </c>
      <c r="B9" s="1">
        <v>8</v>
      </c>
      <c r="C9" s="2">
        <f t="shared" si="0"/>
        <v>43473</v>
      </c>
      <c r="D9" s="1">
        <v>8.76</v>
      </c>
      <c r="E9" s="1" t="str">
        <f t="shared" si="1"/>
        <v>Sedang</v>
      </c>
      <c r="F9" s="3">
        <f t="shared" si="2"/>
        <v>6.93</v>
      </c>
    </row>
    <row r="10" spans="1:6" x14ac:dyDescent="0.35">
      <c r="A10" s="1">
        <v>2019</v>
      </c>
      <c r="B10" s="1">
        <v>9</v>
      </c>
      <c r="C10" s="2">
        <f t="shared" si="0"/>
        <v>43474</v>
      </c>
      <c r="D10" s="1">
        <v>6.25</v>
      </c>
      <c r="E10" s="1" t="str">
        <f t="shared" si="1"/>
        <v>Sedang</v>
      </c>
      <c r="F10" s="3">
        <f t="shared" si="2"/>
        <v>5.2271428571428569</v>
      </c>
    </row>
    <row r="11" spans="1:6" x14ac:dyDescent="0.35">
      <c r="A11" s="1">
        <v>2019</v>
      </c>
      <c r="B11" s="1">
        <v>10</v>
      </c>
      <c r="C11" s="2">
        <f t="shared" si="0"/>
        <v>43475</v>
      </c>
      <c r="D11" s="1">
        <v>5.66</v>
      </c>
      <c r="E11" s="1" t="str">
        <f t="shared" si="1"/>
        <v>Sedang</v>
      </c>
      <c r="F11" s="3">
        <f t="shared" si="2"/>
        <v>5.4214285714285717</v>
      </c>
    </row>
    <row r="12" spans="1:6" x14ac:dyDescent="0.35">
      <c r="A12" s="1">
        <v>2019</v>
      </c>
      <c r="B12" s="1">
        <v>11</v>
      </c>
      <c r="C12" s="2">
        <f t="shared" si="0"/>
        <v>43476</v>
      </c>
      <c r="D12" s="1">
        <v>4.62</v>
      </c>
      <c r="E12" s="1" t="str">
        <f t="shared" si="1"/>
        <v>Ringan</v>
      </c>
      <c r="F12" s="3">
        <f t="shared" si="2"/>
        <v>5.3599999999999994</v>
      </c>
    </row>
    <row r="13" spans="1:6" x14ac:dyDescent="0.35">
      <c r="A13" s="1">
        <v>2019</v>
      </c>
      <c r="B13" s="1">
        <v>12</v>
      </c>
      <c r="C13" s="2">
        <f t="shared" si="0"/>
        <v>43477</v>
      </c>
      <c r="D13" s="1">
        <v>5.83</v>
      </c>
      <c r="E13" s="1" t="str">
        <f t="shared" si="1"/>
        <v>Sedang</v>
      </c>
      <c r="F13" s="3">
        <f t="shared" si="2"/>
        <v>6.0542857142857134</v>
      </c>
    </row>
    <row r="14" spans="1:6" x14ac:dyDescent="0.35">
      <c r="A14" s="1">
        <v>2019</v>
      </c>
      <c r="B14" s="1">
        <v>13</v>
      </c>
      <c r="C14" s="2">
        <f t="shared" si="0"/>
        <v>43478</v>
      </c>
      <c r="D14" s="1">
        <v>4.4400000000000004</v>
      </c>
      <c r="E14" s="1" t="str">
        <f t="shared" si="1"/>
        <v>Ringan</v>
      </c>
      <c r="F14" s="3">
        <f t="shared" si="2"/>
        <v>6.6671428571428564</v>
      </c>
    </row>
    <row r="15" spans="1:6" x14ac:dyDescent="0.35">
      <c r="A15" s="1">
        <v>2019</v>
      </c>
      <c r="B15" s="1">
        <v>14</v>
      </c>
      <c r="C15" s="2">
        <f t="shared" si="0"/>
        <v>43479</v>
      </c>
      <c r="D15" s="1">
        <v>36.369999999999997</v>
      </c>
      <c r="E15" s="1" t="str">
        <f t="shared" si="1"/>
        <v>Lebat</v>
      </c>
      <c r="F15" s="3">
        <f t="shared" si="2"/>
        <v>10.275714285714287</v>
      </c>
    </row>
    <row r="16" spans="1:6" x14ac:dyDescent="0.35">
      <c r="A16" s="1">
        <v>2019</v>
      </c>
      <c r="B16" s="1">
        <v>15</v>
      </c>
      <c r="C16" s="2">
        <f t="shared" si="0"/>
        <v>43480</v>
      </c>
      <c r="D16" s="1">
        <v>21.98</v>
      </c>
      <c r="E16" s="1" t="str">
        <f t="shared" si="1"/>
        <v>Lebat</v>
      </c>
      <c r="F16" s="3">
        <f t="shared" si="2"/>
        <v>12.164285714285715</v>
      </c>
    </row>
    <row r="17" spans="1:6" x14ac:dyDescent="0.35">
      <c r="A17" s="1">
        <v>2019</v>
      </c>
      <c r="B17" s="1">
        <v>16</v>
      </c>
      <c r="C17" s="2">
        <f t="shared" si="0"/>
        <v>43481</v>
      </c>
      <c r="D17" s="1">
        <v>21.47</v>
      </c>
      <c r="E17" s="1" t="str">
        <f t="shared" si="1"/>
        <v>Lebat</v>
      </c>
      <c r="F17" s="3">
        <f t="shared" si="2"/>
        <v>14.338571428571429</v>
      </c>
    </row>
    <row r="18" spans="1:6" x14ac:dyDescent="0.35">
      <c r="A18" s="1">
        <v>2019</v>
      </c>
      <c r="B18" s="1">
        <v>17</v>
      </c>
      <c r="C18" s="2">
        <f t="shared" si="0"/>
        <v>43482</v>
      </c>
      <c r="D18" s="1">
        <v>5.08</v>
      </c>
      <c r="E18" s="1" t="str">
        <f t="shared" si="1"/>
        <v>Sedang</v>
      </c>
      <c r="F18" s="3">
        <f t="shared" si="2"/>
        <v>14.255714285714285</v>
      </c>
    </row>
    <row r="19" spans="1:6" x14ac:dyDescent="0.35">
      <c r="A19" s="1">
        <v>2019</v>
      </c>
      <c r="B19" s="1">
        <v>18</v>
      </c>
      <c r="C19" s="2">
        <f t="shared" si="0"/>
        <v>43483</v>
      </c>
      <c r="D19" s="1">
        <v>0.12</v>
      </c>
      <c r="E19" s="1" t="str">
        <f t="shared" si="1"/>
        <v>Kering</v>
      </c>
      <c r="F19" s="3">
        <f t="shared" si="2"/>
        <v>13.612857142857143</v>
      </c>
    </row>
    <row r="20" spans="1:6" x14ac:dyDescent="0.35">
      <c r="A20" s="1">
        <v>2019</v>
      </c>
      <c r="B20" s="1">
        <v>19</v>
      </c>
      <c r="C20" s="2">
        <f t="shared" si="0"/>
        <v>43484</v>
      </c>
      <c r="D20" s="1">
        <v>2.39</v>
      </c>
      <c r="E20" s="1" t="str">
        <f t="shared" si="1"/>
        <v>Ringan</v>
      </c>
      <c r="F20" s="3">
        <f t="shared" si="2"/>
        <v>13.12142857142857</v>
      </c>
    </row>
    <row r="21" spans="1:6" x14ac:dyDescent="0.35">
      <c r="A21" s="1">
        <v>2019</v>
      </c>
      <c r="B21" s="1">
        <v>20</v>
      </c>
      <c r="C21" s="2">
        <f t="shared" si="0"/>
        <v>43485</v>
      </c>
      <c r="D21" s="1">
        <v>2.64</v>
      </c>
      <c r="E21" s="1" t="str">
        <f t="shared" si="1"/>
        <v>Ringan</v>
      </c>
      <c r="F21" s="3">
        <f t="shared" si="2"/>
        <v>12.864285714285714</v>
      </c>
    </row>
    <row r="22" spans="1:6" x14ac:dyDescent="0.35">
      <c r="A22" s="1">
        <v>2019</v>
      </c>
      <c r="B22" s="1">
        <v>21</v>
      </c>
      <c r="C22" s="2">
        <f t="shared" si="0"/>
        <v>43486</v>
      </c>
      <c r="D22" s="1">
        <v>4.79</v>
      </c>
      <c r="E22" s="1" t="str">
        <f t="shared" si="1"/>
        <v>Ringan</v>
      </c>
      <c r="F22" s="3">
        <f t="shared" si="2"/>
        <v>8.3528571428571432</v>
      </c>
    </row>
    <row r="23" spans="1:6" x14ac:dyDescent="0.35">
      <c r="A23" s="1">
        <v>2019</v>
      </c>
      <c r="B23" s="1">
        <v>22</v>
      </c>
      <c r="C23" s="2">
        <f t="shared" si="0"/>
        <v>43487</v>
      </c>
      <c r="D23" s="1">
        <v>0.99</v>
      </c>
      <c r="E23" s="1" t="str">
        <f t="shared" si="1"/>
        <v>Kering</v>
      </c>
      <c r="F23" s="3">
        <f t="shared" si="2"/>
        <v>5.354285714285715</v>
      </c>
    </row>
    <row r="24" spans="1:6" x14ac:dyDescent="0.35">
      <c r="A24" s="1">
        <v>2019</v>
      </c>
      <c r="B24" s="1">
        <v>23</v>
      </c>
      <c r="C24" s="2">
        <f t="shared" si="0"/>
        <v>43488</v>
      </c>
      <c r="D24" s="1">
        <v>0.18</v>
      </c>
      <c r="E24" s="1" t="str">
        <f t="shared" si="1"/>
        <v>Kering</v>
      </c>
      <c r="F24" s="3">
        <f t="shared" si="2"/>
        <v>2.3128571428571427</v>
      </c>
    </row>
    <row r="25" spans="1:6" x14ac:dyDescent="0.35">
      <c r="A25" s="1">
        <v>2019</v>
      </c>
      <c r="B25" s="1">
        <v>24</v>
      </c>
      <c r="C25" s="2">
        <f t="shared" si="0"/>
        <v>43489</v>
      </c>
      <c r="D25" s="1">
        <v>0</v>
      </c>
      <c r="E25" s="1" t="str">
        <f t="shared" si="1"/>
        <v>Kering</v>
      </c>
      <c r="F25" s="3">
        <f t="shared" si="2"/>
        <v>1.5871428571428574</v>
      </c>
    </row>
    <row r="26" spans="1:6" x14ac:dyDescent="0.35">
      <c r="A26" s="1">
        <v>2019</v>
      </c>
      <c r="B26" s="1">
        <v>25</v>
      </c>
      <c r="C26" s="2">
        <f t="shared" si="0"/>
        <v>43490</v>
      </c>
      <c r="D26" s="1">
        <v>0.09</v>
      </c>
      <c r="E26" s="1" t="str">
        <f t="shared" si="1"/>
        <v>Kering</v>
      </c>
      <c r="F26" s="3">
        <f t="shared" si="2"/>
        <v>1.582857142857143</v>
      </c>
    </row>
    <row r="27" spans="1:6" x14ac:dyDescent="0.35">
      <c r="A27" s="1">
        <v>2019</v>
      </c>
      <c r="B27" s="1">
        <v>26</v>
      </c>
      <c r="C27" s="2">
        <f t="shared" si="0"/>
        <v>43491</v>
      </c>
      <c r="D27" s="1">
        <v>0.41</v>
      </c>
      <c r="E27" s="1" t="str">
        <f t="shared" si="1"/>
        <v>Kering</v>
      </c>
      <c r="F27" s="3">
        <f t="shared" si="2"/>
        <v>1.3</v>
      </c>
    </row>
    <row r="28" spans="1:6" x14ac:dyDescent="0.35">
      <c r="A28" s="1">
        <v>2019</v>
      </c>
      <c r="B28" s="1">
        <v>27</v>
      </c>
      <c r="C28" s="2">
        <f t="shared" si="0"/>
        <v>43492</v>
      </c>
      <c r="D28" s="1">
        <v>0.73</v>
      </c>
      <c r="E28" s="1" t="str">
        <f t="shared" si="1"/>
        <v>Kering</v>
      </c>
      <c r="F28" s="3">
        <f t="shared" si="2"/>
        <v>1.0271428571428571</v>
      </c>
    </row>
    <row r="29" spans="1:6" x14ac:dyDescent="0.35">
      <c r="A29" s="1">
        <v>2019</v>
      </c>
      <c r="B29" s="1">
        <v>28</v>
      </c>
      <c r="C29" s="2">
        <f t="shared" si="0"/>
        <v>43493</v>
      </c>
      <c r="D29" s="1">
        <v>0.5</v>
      </c>
      <c r="E29" s="1" t="str">
        <f t="shared" si="1"/>
        <v>Kering</v>
      </c>
      <c r="F29" s="3">
        <f t="shared" si="2"/>
        <v>0.41428571428571426</v>
      </c>
    </row>
    <row r="30" spans="1:6" x14ac:dyDescent="0.35">
      <c r="A30" s="1">
        <v>2019</v>
      </c>
      <c r="B30" s="1">
        <v>29</v>
      </c>
      <c r="C30" s="2">
        <f t="shared" si="0"/>
        <v>43494</v>
      </c>
      <c r="D30" s="1">
        <v>0.09</v>
      </c>
      <c r="E30" s="1" t="str">
        <f t="shared" si="1"/>
        <v>Kering</v>
      </c>
      <c r="F30" s="3">
        <f t="shared" si="2"/>
        <v>0.2857142857142857</v>
      </c>
    </row>
    <row r="31" spans="1:6" x14ac:dyDescent="0.35">
      <c r="A31" s="1">
        <v>2019</v>
      </c>
      <c r="B31" s="1">
        <v>30</v>
      </c>
      <c r="C31" s="2">
        <f t="shared" si="0"/>
        <v>43495</v>
      </c>
      <c r="D31" s="1">
        <v>15.04</v>
      </c>
      <c r="E31" s="1" t="str">
        <f t="shared" si="1"/>
        <v>Sedang</v>
      </c>
      <c r="F31" s="3">
        <f t="shared" si="2"/>
        <v>2.4085714285714284</v>
      </c>
    </row>
    <row r="32" spans="1:6" x14ac:dyDescent="0.35">
      <c r="A32" s="1">
        <v>2019</v>
      </c>
      <c r="B32" s="1">
        <v>31</v>
      </c>
      <c r="C32" s="2">
        <f t="shared" si="0"/>
        <v>43496</v>
      </c>
      <c r="D32" s="1">
        <v>5.91</v>
      </c>
      <c r="E32" s="1" t="str">
        <f t="shared" si="1"/>
        <v>Sedang</v>
      </c>
      <c r="F32" s="3">
        <f t="shared" si="2"/>
        <v>3.2528571428571427</v>
      </c>
    </row>
    <row r="33" spans="1:6" x14ac:dyDescent="0.35">
      <c r="A33" s="1">
        <v>2019</v>
      </c>
      <c r="B33" s="1">
        <v>32</v>
      </c>
      <c r="C33" s="2">
        <f t="shared" si="0"/>
        <v>43497</v>
      </c>
      <c r="D33" s="1">
        <v>3.2</v>
      </c>
      <c r="E33" s="1" t="str">
        <f t="shared" si="1"/>
        <v>Ringan</v>
      </c>
      <c r="F33" s="3">
        <f t="shared" si="2"/>
        <v>3.6971428571428571</v>
      </c>
    </row>
    <row r="34" spans="1:6" x14ac:dyDescent="0.35">
      <c r="A34" s="1">
        <v>2019</v>
      </c>
      <c r="B34" s="1">
        <v>33</v>
      </c>
      <c r="C34" s="2">
        <f t="shared" ref="C34:C65" si="3">DATE(A34,1,B34)</f>
        <v>43498</v>
      </c>
      <c r="D34" s="1">
        <v>2.52</v>
      </c>
      <c r="E34" s="1" t="str">
        <f t="shared" ref="E34:E65" si="4">IF(D34&lt;1,"Kering",IF(D34&lt;=5,"Ringan",IF(D34&lt;=20,"Sedang","Lebat")))</f>
        <v>Ringan</v>
      </c>
      <c r="F34" s="3">
        <f t="shared" si="2"/>
        <v>3.9985714285714282</v>
      </c>
    </row>
    <row r="35" spans="1:6" x14ac:dyDescent="0.35">
      <c r="A35" s="1">
        <v>2019</v>
      </c>
      <c r="B35" s="1">
        <v>34</v>
      </c>
      <c r="C35" s="2">
        <f t="shared" si="3"/>
        <v>43499</v>
      </c>
      <c r="D35" s="1">
        <v>3.21</v>
      </c>
      <c r="E35" s="1" t="str">
        <f t="shared" si="4"/>
        <v>Ringan</v>
      </c>
      <c r="F35" s="3">
        <f t="shared" si="2"/>
        <v>4.3528571428571423</v>
      </c>
    </row>
    <row r="36" spans="1:6" x14ac:dyDescent="0.35">
      <c r="A36" s="1">
        <v>2019</v>
      </c>
      <c r="B36" s="1">
        <v>35</v>
      </c>
      <c r="C36" s="2">
        <f t="shared" si="3"/>
        <v>43500</v>
      </c>
      <c r="D36" s="1">
        <v>6.56</v>
      </c>
      <c r="E36" s="1" t="str">
        <f t="shared" si="4"/>
        <v>Sedang</v>
      </c>
      <c r="F36" s="3">
        <f t="shared" si="2"/>
        <v>5.2185714285714289</v>
      </c>
    </row>
    <row r="37" spans="1:6" x14ac:dyDescent="0.35">
      <c r="A37" s="1">
        <v>2019</v>
      </c>
      <c r="B37" s="1">
        <v>36</v>
      </c>
      <c r="C37" s="2">
        <f t="shared" si="3"/>
        <v>43501</v>
      </c>
      <c r="D37" s="1">
        <v>1.4</v>
      </c>
      <c r="E37" s="1" t="str">
        <f t="shared" si="4"/>
        <v>Ringan</v>
      </c>
      <c r="F37" s="3">
        <f t="shared" si="2"/>
        <v>5.4057142857142848</v>
      </c>
    </row>
    <row r="38" spans="1:6" x14ac:dyDescent="0.35">
      <c r="A38" s="1">
        <v>2019</v>
      </c>
      <c r="B38" s="1">
        <v>37</v>
      </c>
      <c r="C38" s="2">
        <f t="shared" si="3"/>
        <v>43502</v>
      </c>
      <c r="D38" s="1">
        <v>1.03</v>
      </c>
      <c r="E38" s="1" t="str">
        <f t="shared" si="4"/>
        <v>Ringan</v>
      </c>
      <c r="F38" s="3">
        <f t="shared" si="2"/>
        <v>3.4042857142857139</v>
      </c>
    </row>
    <row r="39" spans="1:6" x14ac:dyDescent="0.35">
      <c r="A39" s="1">
        <v>2019</v>
      </c>
      <c r="B39" s="1">
        <v>38</v>
      </c>
      <c r="C39" s="2">
        <f t="shared" si="3"/>
        <v>43503</v>
      </c>
      <c r="D39" s="1">
        <v>3.03</v>
      </c>
      <c r="E39" s="1" t="str">
        <f t="shared" si="4"/>
        <v>Ringan</v>
      </c>
      <c r="F39" s="3">
        <f t="shared" si="2"/>
        <v>2.9928571428571429</v>
      </c>
    </row>
    <row r="40" spans="1:6" x14ac:dyDescent="0.35">
      <c r="A40" s="1">
        <v>2019</v>
      </c>
      <c r="B40" s="1">
        <v>39</v>
      </c>
      <c r="C40" s="2">
        <f t="shared" si="3"/>
        <v>43504</v>
      </c>
      <c r="D40" s="1">
        <v>44.92</v>
      </c>
      <c r="E40" s="1" t="str">
        <f t="shared" si="4"/>
        <v>Lebat</v>
      </c>
      <c r="F40" s="3">
        <f t="shared" ref="F40:F71" si="5">AVERAGE(D34:D40)</f>
        <v>8.9528571428571428</v>
      </c>
    </row>
    <row r="41" spans="1:6" x14ac:dyDescent="0.35">
      <c r="A41" s="1">
        <v>2019</v>
      </c>
      <c r="B41" s="1">
        <v>40</v>
      </c>
      <c r="C41" s="2">
        <f t="shared" si="3"/>
        <v>43505</v>
      </c>
      <c r="D41" s="1">
        <v>29.64</v>
      </c>
      <c r="E41" s="1" t="str">
        <f t="shared" si="4"/>
        <v>Lebat</v>
      </c>
      <c r="F41" s="3">
        <f t="shared" si="5"/>
        <v>12.827142857142857</v>
      </c>
    </row>
    <row r="42" spans="1:6" x14ac:dyDescent="0.35">
      <c r="A42" s="1">
        <v>2019</v>
      </c>
      <c r="B42" s="1">
        <v>41</v>
      </c>
      <c r="C42" s="2">
        <f t="shared" si="3"/>
        <v>43506</v>
      </c>
      <c r="D42" s="1">
        <v>13</v>
      </c>
      <c r="E42" s="1" t="str">
        <f t="shared" si="4"/>
        <v>Sedang</v>
      </c>
      <c r="F42" s="3">
        <f t="shared" si="5"/>
        <v>14.225714285714286</v>
      </c>
    </row>
    <row r="43" spans="1:6" x14ac:dyDescent="0.35">
      <c r="A43" s="1">
        <v>2019</v>
      </c>
      <c r="B43" s="1">
        <v>42</v>
      </c>
      <c r="C43" s="2">
        <f t="shared" si="3"/>
        <v>43507</v>
      </c>
      <c r="D43" s="1">
        <v>11.41</v>
      </c>
      <c r="E43" s="1" t="str">
        <f t="shared" si="4"/>
        <v>Sedang</v>
      </c>
      <c r="F43" s="3">
        <f t="shared" si="5"/>
        <v>14.918571428571429</v>
      </c>
    </row>
    <row r="44" spans="1:6" x14ac:dyDescent="0.35">
      <c r="A44" s="1">
        <v>2019</v>
      </c>
      <c r="B44" s="1">
        <v>43</v>
      </c>
      <c r="C44" s="2">
        <f t="shared" si="3"/>
        <v>43508</v>
      </c>
      <c r="D44" s="1">
        <v>7.7</v>
      </c>
      <c r="E44" s="1" t="str">
        <f t="shared" si="4"/>
        <v>Sedang</v>
      </c>
      <c r="F44" s="3">
        <f t="shared" si="5"/>
        <v>15.818571428571429</v>
      </c>
    </row>
    <row r="45" spans="1:6" x14ac:dyDescent="0.35">
      <c r="A45" s="1">
        <v>2019</v>
      </c>
      <c r="B45" s="1">
        <v>44</v>
      </c>
      <c r="C45" s="2">
        <f t="shared" si="3"/>
        <v>43509</v>
      </c>
      <c r="D45" s="1">
        <v>2.37</v>
      </c>
      <c r="E45" s="1" t="str">
        <f t="shared" si="4"/>
        <v>Ringan</v>
      </c>
      <c r="F45" s="3">
        <f t="shared" si="5"/>
        <v>16.010000000000002</v>
      </c>
    </row>
    <row r="46" spans="1:6" x14ac:dyDescent="0.35">
      <c r="A46" s="1">
        <v>2019</v>
      </c>
      <c r="B46" s="1">
        <v>45</v>
      </c>
      <c r="C46" s="2">
        <f t="shared" si="3"/>
        <v>43510</v>
      </c>
      <c r="D46" s="1">
        <v>0.11</v>
      </c>
      <c r="E46" s="1" t="str">
        <f t="shared" si="4"/>
        <v>Kering</v>
      </c>
      <c r="F46" s="3">
        <f t="shared" si="5"/>
        <v>15.592857142857143</v>
      </c>
    </row>
    <row r="47" spans="1:6" x14ac:dyDescent="0.35">
      <c r="A47" s="1">
        <v>2019</v>
      </c>
      <c r="B47" s="1">
        <v>46</v>
      </c>
      <c r="C47" s="2">
        <f t="shared" si="3"/>
        <v>43511</v>
      </c>
      <c r="D47" s="1">
        <v>4.91</v>
      </c>
      <c r="E47" s="1" t="str">
        <f t="shared" si="4"/>
        <v>Ringan</v>
      </c>
      <c r="F47" s="3">
        <f t="shared" si="5"/>
        <v>9.8771428571428572</v>
      </c>
    </row>
    <row r="48" spans="1:6" x14ac:dyDescent="0.35">
      <c r="A48" s="1">
        <v>2019</v>
      </c>
      <c r="B48" s="1">
        <v>47</v>
      </c>
      <c r="C48" s="2">
        <f t="shared" si="3"/>
        <v>43512</v>
      </c>
      <c r="D48" s="1">
        <v>3.43</v>
      </c>
      <c r="E48" s="1" t="str">
        <f t="shared" si="4"/>
        <v>Ringan</v>
      </c>
      <c r="F48" s="3">
        <f t="shared" si="5"/>
        <v>6.1328571428571426</v>
      </c>
    </row>
    <row r="49" spans="1:6" x14ac:dyDescent="0.35">
      <c r="A49" s="1">
        <v>2019</v>
      </c>
      <c r="B49" s="1">
        <v>48</v>
      </c>
      <c r="C49" s="2">
        <f t="shared" si="3"/>
        <v>43513</v>
      </c>
      <c r="D49" s="1">
        <v>12.12</v>
      </c>
      <c r="E49" s="1" t="str">
        <f t="shared" si="4"/>
        <v>Sedang</v>
      </c>
      <c r="F49" s="3">
        <f t="shared" si="5"/>
        <v>6.0071428571428571</v>
      </c>
    </row>
    <row r="50" spans="1:6" x14ac:dyDescent="0.35">
      <c r="A50" s="1">
        <v>2019</v>
      </c>
      <c r="B50" s="1">
        <v>49</v>
      </c>
      <c r="C50" s="2">
        <f t="shared" si="3"/>
        <v>43514</v>
      </c>
      <c r="D50" s="1">
        <v>1.41</v>
      </c>
      <c r="E50" s="1" t="str">
        <f t="shared" si="4"/>
        <v>Ringan</v>
      </c>
      <c r="F50" s="3">
        <f t="shared" si="5"/>
        <v>4.5785714285714283</v>
      </c>
    </row>
    <row r="51" spans="1:6" x14ac:dyDescent="0.35">
      <c r="A51" s="1">
        <v>2019</v>
      </c>
      <c r="B51" s="1">
        <v>50</v>
      </c>
      <c r="C51" s="2">
        <f t="shared" si="3"/>
        <v>43515</v>
      </c>
      <c r="D51" s="1">
        <v>0.56999999999999995</v>
      </c>
      <c r="E51" s="1" t="str">
        <f t="shared" si="4"/>
        <v>Kering</v>
      </c>
      <c r="F51" s="3">
        <f t="shared" si="5"/>
        <v>3.5599999999999996</v>
      </c>
    </row>
    <row r="52" spans="1:6" x14ac:dyDescent="0.35">
      <c r="A52" s="1">
        <v>2019</v>
      </c>
      <c r="B52" s="1">
        <v>51</v>
      </c>
      <c r="C52" s="2">
        <f t="shared" si="3"/>
        <v>43516</v>
      </c>
      <c r="D52" s="1">
        <v>1.93</v>
      </c>
      <c r="E52" s="1" t="str">
        <f t="shared" si="4"/>
        <v>Ringan</v>
      </c>
      <c r="F52" s="3">
        <f t="shared" si="5"/>
        <v>3.4971428571428573</v>
      </c>
    </row>
    <row r="53" spans="1:6" x14ac:dyDescent="0.35">
      <c r="A53" s="1">
        <v>2019</v>
      </c>
      <c r="B53" s="1">
        <v>52</v>
      </c>
      <c r="C53" s="2">
        <f t="shared" si="3"/>
        <v>43517</v>
      </c>
      <c r="D53" s="1">
        <v>4.33</v>
      </c>
      <c r="E53" s="1" t="str">
        <f t="shared" si="4"/>
        <v>Ringan</v>
      </c>
      <c r="F53" s="3">
        <f t="shared" si="5"/>
        <v>4.1000000000000005</v>
      </c>
    </row>
    <row r="54" spans="1:6" x14ac:dyDescent="0.35">
      <c r="A54" s="1">
        <v>2019</v>
      </c>
      <c r="B54" s="1">
        <v>53</v>
      </c>
      <c r="C54" s="2">
        <f t="shared" si="3"/>
        <v>43518</v>
      </c>
      <c r="D54" s="1">
        <v>0.6</v>
      </c>
      <c r="E54" s="1" t="str">
        <f t="shared" si="4"/>
        <v>Kering</v>
      </c>
      <c r="F54" s="3">
        <f t="shared" si="5"/>
        <v>3.4842857142857144</v>
      </c>
    </row>
    <row r="55" spans="1:6" x14ac:dyDescent="0.35">
      <c r="A55" s="1">
        <v>2019</v>
      </c>
      <c r="B55" s="1">
        <v>54</v>
      </c>
      <c r="C55" s="2">
        <f t="shared" si="3"/>
        <v>43519</v>
      </c>
      <c r="D55" s="1">
        <v>6.01</v>
      </c>
      <c r="E55" s="1" t="str">
        <f t="shared" si="4"/>
        <v>Sedang</v>
      </c>
      <c r="F55" s="3">
        <f t="shared" si="5"/>
        <v>3.8528571428571428</v>
      </c>
    </row>
    <row r="56" spans="1:6" x14ac:dyDescent="0.35">
      <c r="A56" s="1">
        <v>2019</v>
      </c>
      <c r="B56" s="1">
        <v>55</v>
      </c>
      <c r="C56" s="2">
        <f t="shared" si="3"/>
        <v>43520</v>
      </c>
      <c r="D56" s="1">
        <v>5.27</v>
      </c>
      <c r="E56" s="1" t="str">
        <f t="shared" si="4"/>
        <v>Sedang</v>
      </c>
      <c r="F56" s="3">
        <f t="shared" si="5"/>
        <v>2.8742857142857141</v>
      </c>
    </row>
    <row r="57" spans="1:6" x14ac:dyDescent="0.35">
      <c r="A57" s="1">
        <v>2019</v>
      </c>
      <c r="B57" s="1">
        <v>56</v>
      </c>
      <c r="C57" s="2">
        <f t="shared" si="3"/>
        <v>43521</v>
      </c>
      <c r="D57" s="1">
        <v>0.87</v>
      </c>
      <c r="E57" s="1" t="str">
        <f t="shared" si="4"/>
        <v>Kering</v>
      </c>
      <c r="F57" s="3">
        <f t="shared" si="5"/>
        <v>2.7971428571428576</v>
      </c>
    </row>
    <row r="58" spans="1:6" x14ac:dyDescent="0.35">
      <c r="A58" s="1">
        <v>2019</v>
      </c>
      <c r="B58" s="1">
        <v>57</v>
      </c>
      <c r="C58" s="2">
        <f t="shared" si="3"/>
        <v>43522</v>
      </c>
      <c r="D58" s="1">
        <v>0.11</v>
      </c>
      <c r="E58" s="1" t="str">
        <f t="shared" si="4"/>
        <v>Kering</v>
      </c>
      <c r="F58" s="3">
        <f t="shared" si="5"/>
        <v>2.7314285714285718</v>
      </c>
    </row>
    <row r="59" spans="1:6" x14ac:dyDescent="0.35">
      <c r="A59" s="1">
        <v>2019</v>
      </c>
      <c r="B59" s="1">
        <v>58</v>
      </c>
      <c r="C59" s="2">
        <f t="shared" si="3"/>
        <v>43523</v>
      </c>
      <c r="D59" s="1">
        <v>0.23</v>
      </c>
      <c r="E59" s="1" t="str">
        <f t="shared" si="4"/>
        <v>Kering</v>
      </c>
      <c r="F59" s="3">
        <f t="shared" si="5"/>
        <v>2.4885714285714289</v>
      </c>
    </row>
    <row r="60" spans="1:6" x14ac:dyDescent="0.35">
      <c r="A60" s="1">
        <v>2019</v>
      </c>
      <c r="B60" s="1">
        <v>59</v>
      </c>
      <c r="C60" s="2">
        <f t="shared" si="3"/>
        <v>43524</v>
      </c>
      <c r="D60" s="1">
        <v>38.22</v>
      </c>
      <c r="E60" s="1" t="str">
        <f t="shared" si="4"/>
        <v>Lebat</v>
      </c>
      <c r="F60" s="3">
        <f t="shared" si="5"/>
        <v>7.3299999999999992</v>
      </c>
    </row>
    <row r="61" spans="1:6" x14ac:dyDescent="0.35">
      <c r="A61" s="1">
        <v>2019</v>
      </c>
      <c r="B61" s="1">
        <v>60</v>
      </c>
      <c r="C61" s="2">
        <f t="shared" si="3"/>
        <v>43525</v>
      </c>
      <c r="D61" s="1">
        <v>26.72</v>
      </c>
      <c r="E61" s="1" t="str">
        <f t="shared" si="4"/>
        <v>Lebat</v>
      </c>
      <c r="F61" s="3">
        <f t="shared" si="5"/>
        <v>11.06142857142857</v>
      </c>
    </row>
    <row r="62" spans="1:6" x14ac:dyDescent="0.35">
      <c r="A62" s="1">
        <v>2019</v>
      </c>
      <c r="B62" s="1">
        <v>61</v>
      </c>
      <c r="C62" s="2">
        <f t="shared" si="3"/>
        <v>43526</v>
      </c>
      <c r="D62" s="1">
        <v>0.67</v>
      </c>
      <c r="E62" s="1" t="str">
        <f t="shared" si="4"/>
        <v>Kering</v>
      </c>
      <c r="F62" s="3">
        <f t="shared" si="5"/>
        <v>10.29857142857143</v>
      </c>
    </row>
    <row r="63" spans="1:6" x14ac:dyDescent="0.35">
      <c r="A63" s="1">
        <v>2019</v>
      </c>
      <c r="B63" s="1">
        <v>62</v>
      </c>
      <c r="C63" s="2">
        <f t="shared" si="3"/>
        <v>43527</v>
      </c>
      <c r="D63" s="1">
        <v>4.8499999999999996</v>
      </c>
      <c r="E63" s="1" t="str">
        <f t="shared" si="4"/>
        <v>Ringan</v>
      </c>
      <c r="F63" s="3">
        <f t="shared" si="5"/>
        <v>10.238571428571429</v>
      </c>
    </row>
    <row r="64" spans="1:6" x14ac:dyDescent="0.35">
      <c r="A64" s="1">
        <v>2019</v>
      </c>
      <c r="B64" s="1">
        <v>63</v>
      </c>
      <c r="C64" s="2">
        <f t="shared" si="3"/>
        <v>43528</v>
      </c>
      <c r="D64" s="1">
        <v>6.82</v>
      </c>
      <c r="E64" s="1" t="str">
        <f t="shared" si="4"/>
        <v>Sedang</v>
      </c>
      <c r="F64" s="3">
        <f t="shared" si="5"/>
        <v>11.088571428571429</v>
      </c>
    </row>
    <row r="65" spans="1:6" x14ac:dyDescent="0.35">
      <c r="A65" s="1">
        <v>2019</v>
      </c>
      <c r="B65" s="1">
        <v>64</v>
      </c>
      <c r="C65" s="2">
        <f t="shared" si="3"/>
        <v>43529</v>
      </c>
      <c r="D65" s="1">
        <v>2.77</v>
      </c>
      <c r="E65" s="1" t="str">
        <f t="shared" si="4"/>
        <v>Ringan</v>
      </c>
      <c r="F65" s="3">
        <f t="shared" si="5"/>
        <v>11.468571428571426</v>
      </c>
    </row>
    <row r="66" spans="1:6" x14ac:dyDescent="0.35">
      <c r="A66" s="1">
        <v>2019</v>
      </c>
      <c r="B66" s="1">
        <v>65</v>
      </c>
      <c r="C66" s="2">
        <f t="shared" ref="C66:C97" si="6">DATE(A66,1,B66)</f>
        <v>43530</v>
      </c>
      <c r="D66" s="1">
        <v>0.94</v>
      </c>
      <c r="E66" s="1" t="str">
        <f t="shared" ref="E66:E97" si="7">IF(D66&lt;1,"Kering",IF(D66&lt;=5,"Ringan",IF(D66&lt;=20,"Sedang","Lebat")))</f>
        <v>Kering</v>
      </c>
      <c r="F66" s="3">
        <f t="shared" si="5"/>
        <v>11.569999999999999</v>
      </c>
    </row>
    <row r="67" spans="1:6" x14ac:dyDescent="0.35">
      <c r="A67" s="1">
        <v>2019</v>
      </c>
      <c r="B67" s="1">
        <v>66</v>
      </c>
      <c r="C67" s="2">
        <f t="shared" si="6"/>
        <v>43531</v>
      </c>
      <c r="D67" s="1">
        <v>11.3</v>
      </c>
      <c r="E67" s="1" t="str">
        <f t="shared" si="7"/>
        <v>Sedang</v>
      </c>
      <c r="F67" s="3">
        <f t="shared" si="5"/>
        <v>7.7242857142857151</v>
      </c>
    </row>
    <row r="68" spans="1:6" x14ac:dyDescent="0.35">
      <c r="A68" s="1">
        <v>2019</v>
      </c>
      <c r="B68" s="1">
        <v>67</v>
      </c>
      <c r="C68" s="2">
        <f t="shared" si="6"/>
        <v>43532</v>
      </c>
      <c r="D68" s="1">
        <v>6.29</v>
      </c>
      <c r="E68" s="1" t="str">
        <f t="shared" si="7"/>
        <v>Sedang</v>
      </c>
      <c r="F68" s="3">
        <f t="shared" si="5"/>
        <v>4.805714285714286</v>
      </c>
    </row>
    <row r="69" spans="1:6" x14ac:dyDescent="0.35">
      <c r="A69" s="1">
        <v>2019</v>
      </c>
      <c r="B69" s="1">
        <v>68</v>
      </c>
      <c r="C69" s="2">
        <f t="shared" si="6"/>
        <v>43533</v>
      </c>
      <c r="D69" s="1">
        <v>5.45</v>
      </c>
      <c r="E69" s="1" t="str">
        <f t="shared" si="7"/>
        <v>Sedang</v>
      </c>
      <c r="F69" s="3">
        <f t="shared" si="5"/>
        <v>5.4885714285714284</v>
      </c>
    </row>
    <row r="70" spans="1:6" x14ac:dyDescent="0.35">
      <c r="A70" s="1">
        <v>2019</v>
      </c>
      <c r="B70" s="1">
        <v>69</v>
      </c>
      <c r="C70" s="2">
        <f t="shared" si="6"/>
        <v>43534</v>
      </c>
      <c r="D70" s="1">
        <v>2.96</v>
      </c>
      <c r="E70" s="1" t="str">
        <f t="shared" si="7"/>
        <v>Ringan</v>
      </c>
      <c r="F70" s="3">
        <f t="shared" si="5"/>
        <v>5.2185714285714289</v>
      </c>
    </row>
    <row r="71" spans="1:6" x14ac:dyDescent="0.35">
      <c r="A71" s="1">
        <v>2019</v>
      </c>
      <c r="B71" s="1">
        <v>70</v>
      </c>
      <c r="C71" s="2">
        <f t="shared" si="6"/>
        <v>43535</v>
      </c>
      <c r="D71" s="1">
        <v>6.79</v>
      </c>
      <c r="E71" s="1" t="str">
        <f t="shared" si="7"/>
        <v>Sedang</v>
      </c>
      <c r="F71" s="3">
        <f t="shared" si="5"/>
        <v>5.2142857142857144</v>
      </c>
    </row>
    <row r="72" spans="1:6" x14ac:dyDescent="0.35">
      <c r="A72" s="1">
        <v>2019</v>
      </c>
      <c r="B72" s="1">
        <v>71</v>
      </c>
      <c r="C72" s="2">
        <f t="shared" si="6"/>
        <v>43536</v>
      </c>
      <c r="D72" s="1">
        <v>3.16</v>
      </c>
      <c r="E72" s="1" t="str">
        <f t="shared" si="7"/>
        <v>Ringan</v>
      </c>
      <c r="F72" s="3">
        <f t="shared" ref="F72:F103" si="8">AVERAGE(D66:D72)</f>
        <v>5.2700000000000005</v>
      </c>
    </row>
    <row r="73" spans="1:6" x14ac:dyDescent="0.35">
      <c r="A73" s="1">
        <v>2019</v>
      </c>
      <c r="B73" s="1">
        <v>72</v>
      </c>
      <c r="C73" s="2">
        <f t="shared" si="6"/>
        <v>43537</v>
      </c>
      <c r="D73" s="1">
        <v>5.54</v>
      </c>
      <c r="E73" s="1" t="str">
        <f t="shared" si="7"/>
        <v>Sedang</v>
      </c>
      <c r="F73" s="3">
        <f t="shared" si="8"/>
        <v>5.927142857142857</v>
      </c>
    </row>
    <row r="74" spans="1:6" x14ac:dyDescent="0.35">
      <c r="A74" s="1">
        <v>2019</v>
      </c>
      <c r="B74" s="1">
        <v>73</v>
      </c>
      <c r="C74" s="2">
        <f t="shared" si="6"/>
        <v>43538</v>
      </c>
      <c r="D74" s="1">
        <v>2.5299999999999998</v>
      </c>
      <c r="E74" s="1" t="str">
        <f t="shared" si="7"/>
        <v>Ringan</v>
      </c>
      <c r="F74" s="3">
        <f t="shared" si="8"/>
        <v>4.6742857142857144</v>
      </c>
    </row>
    <row r="75" spans="1:6" x14ac:dyDescent="0.35">
      <c r="A75" s="1">
        <v>2019</v>
      </c>
      <c r="B75" s="1">
        <v>74</v>
      </c>
      <c r="C75" s="2">
        <f t="shared" si="6"/>
        <v>43539</v>
      </c>
      <c r="D75" s="1">
        <v>3.56</v>
      </c>
      <c r="E75" s="1" t="str">
        <f t="shared" si="7"/>
        <v>Ringan</v>
      </c>
      <c r="F75" s="3">
        <f t="shared" si="8"/>
        <v>4.2842857142857138</v>
      </c>
    </row>
    <row r="76" spans="1:6" x14ac:dyDescent="0.35">
      <c r="A76" s="1">
        <v>2019</v>
      </c>
      <c r="B76" s="1">
        <v>75</v>
      </c>
      <c r="C76" s="2">
        <f t="shared" si="6"/>
        <v>43540</v>
      </c>
      <c r="D76" s="1">
        <v>4.1100000000000003</v>
      </c>
      <c r="E76" s="1" t="str">
        <f t="shared" si="7"/>
        <v>Ringan</v>
      </c>
      <c r="F76" s="3">
        <f t="shared" si="8"/>
        <v>4.0928571428571425</v>
      </c>
    </row>
    <row r="77" spans="1:6" x14ac:dyDescent="0.35">
      <c r="A77" s="1">
        <v>2019</v>
      </c>
      <c r="B77" s="1">
        <v>76</v>
      </c>
      <c r="C77" s="2">
        <f t="shared" si="6"/>
        <v>43541</v>
      </c>
      <c r="D77" s="1">
        <v>5.74</v>
      </c>
      <c r="E77" s="1" t="str">
        <f t="shared" si="7"/>
        <v>Sedang</v>
      </c>
      <c r="F77" s="3">
        <f t="shared" si="8"/>
        <v>4.49</v>
      </c>
    </row>
    <row r="78" spans="1:6" x14ac:dyDescent="0.35">
      <c r="A78" s="1">
        <v>2019</v>
      </c>
      <c r="B78" s="1">
        <v>77</v>
      </c>
      <c r="C78" s="2">
        <f t="shared" si="6"/>
        <v>43542</v>
      </c>
      <c r="D78" s="1">
        <v>1.1499999999999999</v>
      </c>
      <c r="E78" s="1" t="str">
        <f t="shared" si="7"/>
        <v>Ringan</v>
      </c>
      <c r="F78" s="3">
        <f t="shared" si="8"/>
        <v>3.6842857142857142</v>
      </c>
    </row>
    <row r="79" spans="1:6" x14ac:dyDescent="0.35">
      <c r="A79" s="1">
        <v>2019</v>
      </c>
      <c r="B79" s="1">
        <v>78</v>
      </c>
      <c r="C79" s="2">
        <f t="shared" si="6"/>
        <v>43543</v>
      </c>
      <c r="D79" s="1">
        <v>0</v>
      </c>
      <c r="E79" s="1" t="str">
        <f t="shared" si="7"/>
        <v>Kering</v>
      </c>
      <c r="F79" s="3">
        <f t="shared" si="8"/>
        <v>3.2328571428571431</v>
      </c>
    </row>
    <row r="80" spans="1:6" x14ac:dyDescent="0.35">
      <c r="A80" s="1">
        <v>2019</v>
      </c>
      <c r="B80" s="1">
        <v>79</v>
      </c>
      <c r="C80" s="2">
        <f t="shared" si="6"/>
        <v>43544</v>
      </c>
      <c r="D80" s="1">
        <v>0.01</v>
      </c>
      <c r="E80" s="1" t="str">
        <f t="shared" si="7"/>
        <v>Kering</v>
      </c>
      <c r="F80" s="3">
        <f t="shared" si="8"/>
        <v>2.4428571428571431</v>
      </c>
    </row>
    <row r="81" spans="1:6" x14ac:dyDescent="0.35">
      <c r="A81" s="1">
        <v>2019</v>
      </c>
      <c r="B81" s="1">
        <v>80</v>
      </c>
      <c r="C81" s="2">
        <f t="shared" si="6"/>
        <v>43545</v>
      </c>
      <c r="D81" s="1">
        <v>0.02</v>
      </c>
      <c r="E81" s="1" t="str">
        <f t="shared" si="7"/>
        <v>Kering</v>
      </c>
      <c r="F81" s="3">
        <f t="shared" si="8"/>
        <v>2.0842857142857141</v>
      </c>
    </row>
    <row r="82" spans="1:6" x14ac:dyDescent="0.35">
      <c r="A82" s="1">
        <v>2019</v>
      </c>
      <c r="B82" s="1">
        <v>81</v>
      </c>
      <c r="C82" s="2">
        <f t="shared" si="6"/>
        <v>43546</v>
      </c>
      <c r="D82" s="1">
        <v>13.39</v>
      </c>
      <c r="E82" s="1" t="str">
        <f t="shared" si="7"/>
        <v>Sedang</v>
      </c>
      <c r="F82" s="3">
        <f t="shared" si="8"/>
        <v>3.4885714285714289</v>
      </c>
    </row>
    <row r="83" spans="1:6" x14ac:dyDescent="0.35">
      <c r="A83" s="1">
        <v>2019</v>
      </c>
      <c r="B83" s="1">
        <v>82</v>
      </c>
      <c r="C83" s="2">
        <f t="shared" si="6"/>
        <v>43547</v>
      </c>
      <c r="D83" s="1">
        <v>45.97</v>
      </c>
      <c r="E83" s="1" t="str">
        <f t="shared" si="7"/>
        <v>Lebat</v>
      </c>
      <c r="F83" s="3">
        <f t="shared" si="8"/>
        <v>9.468571428571428</v>
      </c>
    </row>
    <row r="84" spans="1:6" x14ac:dyDescent="0.35">
      <c r="A84" s="1">
        <v>2019</v>
      </c>
      <c r="B84" s="1">
        <v>83</v>
      </c>
      <c r="C84" s="2">
        <f t="shared" si="6"/>
        <v>43548</v>
      </c>
      <c r="D84" s="1">
        <v>9.3699999999999992</v>
      </c>
      <c r="E84" s="1" t="str">
        <f t="shared" si="7"/>
        <v>Sedang</v>
      </c>
      <c r="F84" s="3">
        <f t="shared" si="8"/>
        <v>9.9871428571428567</v>
      </c>
    </row>
    <row r="85" spans="1:6" x14ac:dyDescent="0.35">
      <c r="A85" s="1">
        <v>2019</v>
      </c>
      <c r="B85" s="1">
        <v>84</v>
      </c>
      <c r="C85" s="2">
        <f t="shared" si="6"/>
        <v>43549</v>
      </c>
      <c r="D85" s="1">
        <v>1.96</v>
      </c>
      <c r="E85" s="1" t="str">
        <f t="shared" si="7"/>
        <v>Ringan</v>
      </c>
      <c r="F85" s="3">
        <f t="shared" si="8"/>
        <v>10.102857142857143</v>
      </c>
    </row>
    <row r="86" spans="1:6" x14ac:dyDescent="0.35">
      <c r="A86" s="1">
        <v>2019</v>
      </c>
      <c r="B86" s="1">
        <v>85</v>
      </c>
      <c r="C86" s="2">
        <f t="shared" si="6"/>
        <v>43550</v>
      </c>
      <c r="D86" s="1">
        <v>1.88</v>
      </c>
      <c r="E86" s="1" t="str">
        <f t="shared" si="7"/>
        <v>Ringan</v>
      </c>
      <c r="F86" s="3">
        <f t="shared" si="8"/>
        <v>10.37142857142857</v>
      </c>
    </row>
    <row r="87" spans="1:6" x14ac:dyDescent="0.35">
      <c r="A87" s="1">
        <v>2019</v>
      </c>
      <c r="B87" s="1">
        <v>86</v>
      </c>
      <c r="C87" s="2">
        <f t="shared" si="6"/>
        <v>43551</v>
      </c>
      <c r="D87" s="1">
        <v>0.84</v>
      </c>
      <c r="E87" s="1" t="str">
        <f t="shared" si="7"/>
        <v>Kering</v>
      </c>
      <c r="F87" s="3">
        <f t="shared" si="8"/>
        <v>10.489999999999998</v>
      </c>
    </row>
    <row r="88" spans="1:6" x14ac:dyDescent="0.35">
      <c r="A88" s="1">
        <v>2019</v>
      </c>
      <c r="B88" s="1">
        <v>87</v>
      </c>
      <c r="C88" s="2">
        <f t="shared" si="6"/>
        <v>43552</v>
      </c>
      <c r="D88" s="1">
        <v>8.75</v>
      </c>
      <c r="E88" s="1" t="str">
        <f t="shared" si="7"/>
        <v>Sedang</v>
      </c>
      <c r="F88" s="3">
        <f t="shared" si="8"/>
        <v>11.737142857142857</v>
      </c>
    </row>
    <row r="89" spans="1:6" x14ac:dyDescent="0.35">
      <c r="A89" s="1">
        <v>2019</v>
      </c>
      <c r="B89" s="1">
        <v>88</v>
      </c>
      <c r="C89" s="2">
        <f t="shared" si="6"/>
        <v>43553</v>
      </c>
      <c r="D89" s="1">
        <v>10.72</v>
      </c>
      <c r="E89" s="1" t="str">
        <f t="shared" si="7"/>
        <v>Sedang</v>
      </c>
      <c r="F89" s="3">
        <f t="shared" si="8"/>
        <v>11.355714285714287</v>
      </c>
    </row>
    <row r="90" spans="1:6" x14ac:dyDescent="0.35">
      <c r="A90" s="1">
        <v>2019</v>
      </c>
      <c r="B90" s="1">
        <v>89</v>
      </c>
      <c r="C90" s="2">
        <f t="shared" si="6"/>
        <v>43554</v>
      </c>
      <c r="D90" s="1">
        <v>2.0499999999999998</v>
      </c>
      <c r="E90" s="1" t="str">
        <f t="shared" si="7"/>
        <v>Ringan</v>
      </c>
      <c r="F90" s="3">
        <f t="shared" si="8"/>
        <v>5.0814285714285701</v>
      </c>
    </row>
    <row r="91" spans="1:6" x14ac:dyDescent="0.35">
      <c r="A91" s="1">
        <v>2019</v>
      </c>
      <c r="B91" s="1">
        <v>90</v>
      </c>
      <c r="C91" s="2">
        <f t="shared" si="6"/>
        <v>43555</v>
      </c>
      <c r="D91" s="1">
        <v>3.75</v>
      </c>
      <c r="E91" s="1" t="str">
        <f t="shared" si="7"/>
        <v>Ringan</v>
      </c>
      <c r="F91" s="3">
        <f t="shared" si="8"/>
        <v>4.2785714285714285</v>
      </c>
    </row>
    <row r="92" spans="1:6" x14ac:dyDescent="0.35">
      <c r="A92" s="1">
        <v>2019</v>
      </c>
      <c r="B92" s="1">
        <v>91</v>
      </c>
      <c r="C92" s="2">
        <f t="shared" si="6"/>
        <v>43556</v>
      </c>
      <c r="D92" s="1">
        <v>4.07</v>
      </c>
      <c r="E92" s="1" t="str">
        <f t="shared" si="7"/>
        <v>Ringan</v>
      </c>
      <c r="F92" s="3">
        <f t="shared" si="8"/>
        <v>4.58</v>
      </c>
    </row>
    <row r="93" spans="1:6" x14ac:dyDescent="0.35">
      <c r="A93" s="1">
        <v>2019</v>
      </c>
      <c r="B93" s="1">
        <v>92</v>
      </c>
      <c r="C93" s="2">
        <f t="shared" si="6"/>
        <v>43557</v>
      </c>
      <c r="D93" s="1">
        <v>3.8</v>
      </c>
      <c r="E93" s="1" t="str">
        <f t="shared" si="7"/>
        <v>Ringan</v>
      </c>
      <c r="F93" s="3">
        <f t="shared" si="8"/>
        <v>4.854285714285715</v>
      </c>
    </row>
    <row r="94" spans="1:6" x14ac:dyDescent="0.35">
      <c r="A94" s="1">
        <v>2019</v>
      </c>
      <c r="B94" s="1">
        <v>93</v>
      </c>
      <c r="C94" s="2">
        <f t="shared" si="6"/>
        <v>43558</v>
      </c>
      <c r="D94" s="1">
        <v>3.75</v>
      </c>
      <c r="E94" s="1" t="str">
        <f t="shared" si="7"/>
        <v>Ringan</v>
      </c>
      <c r="F94" s="3">
        <f t="shared" si="8"/>
        <v>5.2700000000000005</v>
      </c>
    </row>
    <row r="95" spans="1:6" x14ac:dyDescent="0.35">
      <c r="A95" s="1">
        <v>2019</v>
      </c>
      <c r="B95" s="1">
        <v>94</v>
      </c>
      <c r="C95" s="2">
        <f t="shared" si="6"/>
        <v>43559</v>
      </c>
      <c r="D95" s="1">
        <v>0.42</v>
      </c>
      <c r="E95" s="1" t="str">
        <f t="shared" si="7"/>
        <v>Kering</v>
      </c>
      <c r="F95" s="3">
        <f t="shared" si="8"/>
        <v>4.08</v>
      </c>
    </row>
    <row r="96" spans="1:6" x14ac:dyDescent="0.35">
      <c r="A96" s="1">
        <v>2019</v>
      </c>
      <c r="B96" s="1">
        <v>95</v>
      </c>
      <c r="C96" s="2">
        <f t="shared" si="6"/>
        <v>43560</v>
      </c>
      <c r="D96" s="1">
        <v>3.81</v>
      </c>
      <c r="E96" s="1" t="str">
        <f t="shared" si="7"/>
        <v>Ringan</v>
      </c>
      <c r="F96" s="3">
        <f t="shared" si="8"/>
        <v>3.092857142857143</v>
      </c>
    </row>
    <row r="97" spans="1:6" x14ac:dyDescent="0.35">
      <c r="A97" s="1">
        <v>2019</v>
      </c>
      <c r="B97" s="1">
        <v>96</v>
      </c>
      <c r="C97" s="2">
        <f t="shared" si="6"/>
        <v>43561</v>
      </c>
      <c r="D97" s="1">
        <v>0.96</v>
      </c>
      <c r="E97" s="1" t="str">
        <f t="shared" si="7"/>
        <v>Kering</v>
      </c>
      <c r="F97" s="3">
        <f t="shared" si="8"/>
        <v>2.9371428571428573</v>
      </c>
    </row>
    <row r="98" spans="1:6" x14ac:dyDescent="0.35">
      <c r="A98" s="1">
        <v>2019</v>
      </c>
      <c r="B98" s="1">
        <v>97</v>
      </c>
      <c r="C98" s="2">
        <f t="shared" ref="C98:C129" si="9">DATE(A98,1,B98)</f>
        <v>43562</v>
      </c>
      <c r="D98" s="1">
        <v>0</v>
      </c>
      <c r="E98" s="1" t="str">
        <f t="shared" ref="E98:E129" si="10">IF(D98&lt;1,"Kering",IF(D98&lt;=5,"Ringan",IF(D98&lt;=20,"Sedang","Lebat")))</f>
        <v>Kering</v>
      </c>
      <c r="F98" s="3">
        <f t="shared" si="8"/>
        <v>2.4014285714285717</v>
      </c>
    </row>
    <row r="99" spans="1:6" x14ac:dyDescent="0.35">
      <c r="A99" s="1">
        <v>2019</v>
      </c>
      <c r="B99" s="1">
        <v>98</v>
      </c>
      <c r="C99" s="2">
        <f t="shared" si="9"/>
        <v>43563</v>
      </c>
      <c r="D99" s="1">
        <v>0.83</v>
      </c>
      <c r="E99" s="1" t="str">
        <f t="shared" si="10"/>
        <v>Kering</v>
      </c>
      <c r="F99" s="3">
        <f t="shared" si="8"/>
        <v>1.9385714285714284</v>
      </c>
    </row>
    <row r="100" spans="1:6" x14ac:dyDescent="0.35">
      <c r="A100" s="1">
        <v>2019</v>
      </c>
      <c r="B100" s="1">
        <v>99</v>
      </c>
      <c r="C100" s="2">
        <f t="shared" si="9"/>
        <v>43564</v>
      </c>
      <c r="D100" s="1">
        <v>6.99</v>
      </c>
      <c r="E100" s="1" t="str">
        <f t="shared" si="10"/>
        <v>Sedang</v>
      </c>
      <c r="F100" s="3">
        <f t="shared" si="8"/>
        <v>2.3942857142857146</v>
      </c>
    </row>
    <row r="101" spans="1:6" x14ac:dyDescent="0.35">
      <c r="A101" s="1">
        <v>2019</v>
      </c>
      <c r="B101" s="1">
        <v>100</v>
      </c>
      <c r="C101" s="2">
        <f t="shared" si="9"/>
        <v>43565</v>
      </c>
      <c r="D101" s="1">
        <v>4.22</v>
      </c>
      <c r="E101" s="1" t="str">
        <f t="shared" si="10"/>
        <v>Ringan</v>
      </c>
      <c r="F101" s="3">
        <f t="shared" si="8"/>
        <v>2.4614285714285713</v>
      </c>
    </row>
    <row r="102" spans="1:6" x14ac:dyDescent="0.35">
      <c r="A102" s="1">
        <v>2019</v>
      </c>
      <c r="B102" s="1">
        <v>101</v>
      </c>
      <c r="C102" s="2">
        <f t="shared" si="9"/>
        <v>43566</v>
      </c>
      <c r="D102" s="1">
        <v>1.57</v>
      </c>
      <c r="E102" s="1" t="str">
        <f t="shared" si="10"/>
        <v>Ringan</v>
      </c>
      <c r="F102" s="3">
        <f t="shared" si="8"/>
        <v>2.6257142857142854</v>
      </c>
    </row>
    <row r="103" spans="1:6" x14ac:dyDescent="0.35">
      <c r="A103" s="1">
        <v>2019</v>
      </c>
      <c r="B103" s="1">
        <v>102</v>
      </c>
      <c r="C103" s="2">
        <f t="shared" si="9"/>
        <v>43567</v>
      </c>
      <c r="D103" s="1">
        <v>2.88</v>
      </c>
      <c r="E103" s="1" t="str">
        <f t="shared" si="10"/>
        <v>Ringan</v>
      </c>
      <c r="F103" s="3">
        <f t="shared" si="8"/>
        <v>2.4928571428571429</v>
      </c>
    </row>
    <row r="104" spans="1:6" x14ac:dyDescent="0.35">
      <c r="A104" s="1">
        <v>2019</v>
      </c>
      <c r="B104" s="1">
        <v>103</v>
      </c>
      <c r="C104" s="2">
        <f t="shared" si="9"/>
        <v>43568</v>
      </c>
      <c r="D104" s="1">
        <v>2.11</v>
      </c>
      <c r="E104" s="1" t="str">
        <f t="shared" si="10"/>
        <v>Ringan</v>
      </c>
      <c r="F104" s="3">
        <f t="shared" ref="F104:F135" si="11">AVERAGE(D98:D104)</f>
        <v>2.657142857142857</v>
      </c>
    </row>
    <row r="105" spans="1:6" x14ac:dyDescent="0.35">
      <c r="A105" s="1">
        <v>2019</v>
      </c>
      <c r="B105" s="1">
        <v>104</v>
      </c>
      <c r="C105" s="2">
        <f t="shared" si="9"/>
        <v>43569</v>
      </c>
      <c r="D105" s="1">
        <v>14.71</v>
      </c>
      <c r="E105" s="1" t="str">
        <f t="shared" si="10"/>
        <v>Sedang</v>
      </c>
      <c r="F105" s="3">
        <f t="shared" si="11"/>
        <v>4.7585714285714289</v>
      </c>
    </row>
    <row r="106" spans="1:6" x14ac:dyDescent="0.35">
      <c r="A106" s="1">
        <v>2019</v>
      </c>
      <c r="B106" s="1">
        <v>105</v>
      </c>
      <c r="C106" s="2">
        <f t="shared" si="9"/>
        <v>43570</v>
      </c>
      <c r="D106" s="1">
        <v>4.9000000000000004</v>
      </c>
      <c r="E106" s="1" t="str">
        <f t="shared" si="10"/>
        <v>Ringan</v>
      </c>
      <c r="F106" s="3">
        <f t="shared" si="11"/>
        <v>5.3400000000000007</v>
      </c>
    </row>
    <row r="107" spans="1:6" x14ac:dyDescent="0.35">
      <c r="A107" s="1">
        <v>2019</v>
      </c>
      <c r="B107" s="1">
        <v>106</v>
      </c>
      <c r="C107" s="2">
        <f t="shared" si="9"/>
        <v>43571</v>
      </c>
      <c r="D107" s="1">
        <v>2.5299999999999998</v>
      </c>
      <c r="E107" s="1" t="str">
        <f t="shared" si="10"/>
        <v>Ringan</v>
      </c>
      <c r="F107" s="3">
        <f t="shared" si="11"/>
        <v>4.7028571428571428</v>
      </c>
    </row>
    <row r="108" spans="1:6" x14ac:dyDescent="0.35">
      <c r="A108" s="1">
        <v>2019</v>
      </c>
      <c r="B108" s="1">
        <v>107</v>
      </c>
      <c r="C108" s="2">
        <f t="shared" si="9"/>
        <v>43572</v>
      </c>
      <c r="D108" s="1">
        <v>7.88</v>
      </c>
      <c r="E108" s="1" t="str">
        <f t="shared" si="10"/>
        <v>Sedang</v>
      </c>
      <c r="F108" s="3">
        <f t="shared" si="11"/>
        <v>5.2257142857142869</v>
      </c>
    </row>
    <row r="109" spans="1:6" x14ac:dyDescent="0.35">
      <c r="A109" s="1">
        <v>2019</v>
      </c>
      <c r="B109" s="1">
        <v>108</v>
      </c>
      <c r="C109" s="2">
        <f t="shared" si="9"/>
        <v>43573</v>
      </c>
      <c r="D109" s="1">
        <v>14.64</v>
      </c>
      <c r="E109" s="1" t="str">
        <f t="shared" si="10"/>
        <v>Sedang</v>
      </c>
      <c r="F109" s="3">
        <f t="shared" si="11"/>
        <v>7.0928571428571434</v>
      </c>
    </row>
    <row r="110" spans="1:6" x14ac:dyDescent="0.35">
      <c r="A110" s="1">
        <v>2019</v>
      </c>
      <c r="B110" s="1">
        <v>109</v>
      </c>
      <c r="C110" s="2">
        <f t="shared" si="9"/>
        <v>43574</v>
      </c>
      <c r="D110" s="1">
        <v>6.99</v>
      </c>
      <c r="E110" s="1" t="str">
        <f t="shared" si="10"/>
        <v>Sedang</v>
      </c>
      <c r="F110" s="3">
        <f t="shared" si="11"/>
        <v>7.6800000000000006</v>
      </c>
    </row>
    <row r="111" spans="1:6" x14ac:dyDescent="0.35">
      <c r="A111" s="1">
        <v>2019</v>
      </c>
      <c r="B111" s="1">
        <v>110</v>
      </c>
      <c r="C111" s="2">
        <f t="shared" si="9"/>
        <v>43575</v>
      </c>
      <c r="D111" s="1">
        <v>6.29</v>
      </c>
      <c r="E111" s="1" t="str">
        <f t="shared" si="10"/>
        <v>Sedang</v>
      </c>
      <c r="F111" s="3">
        <f t="shared" si="11"/>
        <v>8.2771428571428576</v>
      </c>
    </row>
    <row r="112" spans="1:6" x14ac:dyDescent="0.35">
      <c r="A112" s="1">
        <v>2019</v>
      </c>
      <c r="B112" s="1">
        <v>111</v>
      </c>
      <c r="C112" s="2">
        <f t="shared" si="9"/>
        <v>43576</v>
      </c>
      <c r="D112" s="1">
        <v>2.3199999999999998</v>
      </c>
      <c r="E112" s="1" t="str">
        <f t="shared" si="10"/>
        <v>Ringan</v>
      </c>
      <c r="F112" s="3">
        <f t="shared" si="11"/>
        <v>6.5071428571428571</v>
      </c>
    </row>
    <row r="113" spans="1:6" x14ac:dyDescent="0.35">
      <c r="A113" s="1">
        <v>2019</v>
      </c>
      <c r="B113" s="1">
        <v>112</v>
      </c>
      <c r="C113" s="2">
        <f t="shared" si="9"/>
        <v>43577</v>
      </c>
      <c r="D113" s="1">
        <v>4.01</v>
      </c>
      <c r="E113" s="1" t="str">
        <f t="shared" si="10"/>
        <v>Ringan</v>
      </c>
      <c r="F113" s="3">
        <f t="shared" si="11"/>
        <v>6.38</v>
      </c>
    </row>
    <row r="114" spans="1:6" x14ac:dyDescent="0.35">
      <c r="A114" s="1">
        <v>2019</v>
      </c>
      <c r="B114" s="1">
        <v>113</v>
      </c>
      <c r="C114" s="2">
        <f t="shared" si="9"/>
        <v>43578</v>
      </c>
      <c r="D114" s="1">
        <v>5.78</v>
      </c>
      <c r="E114" s="1" t="str">
        <f t="shared" si="10"/>
        <v>Sedang</v>
      </c>
      <c r="F114" s="3">
        <f t="shared" si="11"/>
        <v>6.8442857142857134</v>
      </c>
    </row>
    <row r="115" spans="1:6" x14ac:dyDescent="0.35">
      <c r="A115" s="1">
        <v>2019</v>
      </c>
      <c r="B115" s="1">
        <v>114</v>
      </c>
      <c r="C115" s="2">
        <f t="shared" si="9"/>
        <v>43579</v>
      </c>
      <c r="D115" s="1">
        <v>36.159999999999997</v>
      </c>
      <c r="E115" s="1" t="str">
        <f t="shared" si="10"/>
        <v>Lebat</v>
      </c>
      <c r="F115" s="3">
        <f t="shared" si="11"/>
        <v>10.884285714285713</v>
      </c>
    </row>
    <row r="116" spans="1:6" x14ac:dyDescent="0.35">
      <c r="A116" s="1">
        <v>2019</v>
      </c>
      <c r="B116" s="1">
        <v>115</v>
      </c>
      <c r="C116" s="2">
        <f t="shared" si="9"/>
        <v>43580</v>
      </c>
      <c r="D116" s="1">
        <v>14.87</v>
      </c>
      <c r="E116" s="1" t="str">
        <f t="shared" si="10"/>
        <v>Sedang</v>
      </c>
      <c r="F116" s="3">
        <f t="shared" si="11"/>
        <v>10.917142857142858</v>
      </c>
    </row>
    <row r="117" spans="1:6" x14ac:dyDescent="0.35">
      <c r="A117" s="1">
        <v>2019</v>
      </c>
      <c r="B117" s="1">
        <v>116</v>
      </c>
      <c r="C117" s="2">
        <f t="shared" si="9"/>
        <v>43581</v>
      </c>
      <c r="D117" s="1">
        <v>7.1</v>
      </c>
      <c r="E117" s="1" t="str">
        <f t="shared" si="10"/>
        <v>Sedang</v>
      </c>
      <c r="F117" s="3">
        <f t="shared" si="11"/>
        <v>10.932857142857141</v>
      </c>
    </row>
    <row r="118" spans="1:6" x14ac:dyDescent="0.35">
      <c r="A118" s="1">
        <v>2019</v>
      </c>
      <c r="B118" s="1">
        <v>117</v>
      </c>
      <c r="C118" s="2">
        <f t="shared" si="9"/>
        <v>43582</v>
      </c>
      <c r="D118" s="1">
        <v>8.9600000000000009</v>
      </c>
      <c r="E118" s="1" t="str">
        <f t="shared" si="10"/>
        <v>Sedang</v>
      </c>
      <c r="F118" s="3">
        <f t="shared" si="11"/>
        <v>11.314285714285713</v>
      </c>
    </row>
    <row r="119" spans="1:6" x14ac:dyDescent="0.35">
      <c r="A119" s="1">
        <v>2019</v>
      </c>
      <c r="B119" s="1">
        <v>118</v>
      </c>
      <c r="C119" s="2">
        <f t="shared" si="9"/>
        <v>43583</v>
      </c>
      <c r="D119" s="1">
        <v>26.35</v>
      </c>
      <c r="E119" s="1" t="str">
        <f t="shared" si="10"/>
        <v>Lebat</v>
      </c>
      <c r="F119" s="3">
        <f t="shared" si="11"/>
        <v>14.747142857142856</v>
      </c>
    </row>
    <row r="120" spans="1:6" x14ac:dyDescent="0.35">
      <c r="A120" s="1">
        <v>2019</v>
      </c>
      <c r="B120" s="1">
        <v>119</v>
      </c>
      <c r="C120" s="2">
        <f t="shared" si="9"/>
        <v>43584</v>
      </c>
      <c r="D120" s="1">
        <v>23.88</v>
      </c>
      <c r="E120" s="1" t="str">
        <f t="shared" si="10"/>
        <v>Lebat</v>
      </c>
      <c r="F120" s="3">
        <f t="shared" si="11"/>
        <v>17.585714285714285</v>
      </c>
    </row>
    <row r="121" spans="1:6" x14ac:dyDescent="0.35">
      <c r="A121" s="1">
        <v>2019</v>
      </c>
      <c r="B121" s="1">
        <v>120</v>
      </c>
      <c r="C121" s="2">
        <f t="shared" si="9"/>
        <v>43585</v>
      </c>
      <c r="D121" s="1">
        <v>2.97</v>
      </c>
      <c r="E121" s="1" t="str">
        <f t="shared" si="10"/>
        <v>Ringan</v>
      </c>
      <c r="F121" s="3">
        <f t="shared" si="11"/>
        <v>17.184285714285714</v>
      </c>
    </row>
    <row r="122" spans="1:6" x14ac:dyDescent="0.35">
      <c r="A122" s="1">
        <v>2019</v>
      </c>
      <c r="B122" s="1">
        <v>121</v>
      </c>
      <c r="C122" s="2">
        <f t="shared" si="9"/>
        <v>43586</v>
      </c>
      <c r="D122" s="1">
        <v>0.49</v>
      </c>
      <c r="E122" s="1" t="str">
        <f t="shared" si="10"/>
        <v>Kering</v>
      </c>
      <c r="F122" s="3">
        <f t="shared" si="11"/>
        <v>12.088571428571427</v>
      </c>
    </row>
    <row r="123" spans="1:6" x14ac:dyDescent="0.35">
      <c r="A123" s="1">
        <v>2019</v>
      </c>
      <c r="B123" s="1">
        <v>122</v>
      </c>
      <c r="C123" s="2">
        <f t="shared" si="9"/>
        <v>43587</v>
      </c>
      <c r="D123" s="1">
        <v>0.17</v>
      </c>
      <c r="E123" s="1" t="str">
        <f t="shared" si="10"/>
        <v>Kering</v>
      </c>
      <c r="F123" s="3">
        <f t="shared" si="11"/>
        <v>9.9885714285714293</v>
      </c>
    </row>
    <row r="124" spans="1:6" x14ac:dyDescent="0.35">
      <c r="A124" s="1">
        <v>2019</v>
      </c>
      <c r="B124" s="1">
        <v>123</v>
      </c>
      <c r="C124" s="2">
        <f t="shared" si="9"/>
        <v>43588</v>
      </c>
      <c r="D124" s="1">
        <v>0.65</v>
      </c>
      <c r="E124" s="1" t="str">
        <f t="shared" si="10"/>
        <v>Kering</v>
      </c>
      <c r="F124" s="3">
        <f t="shared" si="11"/>
        <v>9.0671428571428567</v>
      </c>
    </row>
    <row r="125" spans="1:6" x14ac:dyDescent="0.35">
      <c r="A125" s="1">
        <v>2019</v>
      </c>
      <c r="B125" s="1">
        <v>124</v>
      </c>
      <c r="C125" s="2">
        <f t="shared" si="9"/>
        <v>43589</v>
      </c>
      <c r="D125" s="1">
        <v>1.23</v>
      </c>
      <c r="E125" s="1" t="str">
        <f t="shared" si="10"/>
        <v>Ringan</v>
      </c>
      <c r="F125" s="3">
        <f t="shared" si="11"/>
        <v>7.9628571428571435</v>
      </c>
    </row>
    <row r="126" spans="1:6" x14ac:dyDescent="0.35">
      <c r="A126" s="1">
        <v>2019</v>
      </c>
      <c r="B126" s="1">
        <v>125</v>
      </c>
      <c r="C126" s="2">
        <f t="shared" si="9"/>
        <v>43590</v>
      </c>
      <c r="D126" s="1">
        <v>0.35</v>
      </c>
      <c r="E126" s="1" t="str">
        <f t="shared" si="10"/>
        <v>Kering</v>
      </c>
      <c r="F126" s="3">
        <f t="shared" si="11"/>
        <v>4.2485714285714282</v>
      </c>
    </row>
    <row r="127" spans="1:6" x14ac:dyDescent="0.35">
      <c r="A127" s="1">
        <v>2019</v>
      </c>
      <c r="B127" s="1">
        <v>126</v>
      </c>
      <c r="C127" s="2">
        <f t="shared" si="9"/>
        <v>43591</v>
      </c>
      <c r="D127" s="1">
        <v>0.04</v>
      </c>
      <c r="E127" s="1" t="str">
        <f t="shared" si="10"/>
        <v>Kering</v>
      </c>
      <c r="F127" s="3">
        <f t="shared" si="11"/>
        <v>0.84285714285714275</v>
      </c>
    </row>
    <row r="128" spans="1:6" x14ac:dyDescent="0.35">
      <c r="A128" s="1">
        <v>2019</v>
      </c>
      <c r="B128" s="1">
        <v>127</v>
      </c>
      <c r="C128" s="2">
        <f t="shared" si="9"/>
        <v>43592</v>
      </c>
      <c r="D128" s="1">
        <v>0.35</v>
      </c>
      <c r="E128" s="1" t="str">
        <f t="shared" si="10"/>
        <v>Kering</v>
      </c>
      <c r="F128" s="3">
        <f t="shared" si="11"/>
        <v>0.46857142857142858</v>
      </c>
    </row>
    <row r="129" spans="1:6" x14ac:dyDescent="0.35">
      <c r="A129" s="1">
        <v>2019</v>
      </c>
      <c r="B129" s="1">
        <v>128</v>
      </c>
      <c r="C129" s="2">
        <f t="shared" si="9"/>
        <v>43593</v>
      </c>
      <c r="D129" s="1">
        <v>0.33</v>
      </c>
      <c r="E129" s="1" t="str">
        <f t="shared" si="10"/>
        <v>Kering</v>
      </c>
      <c r="F129" s="3">
        <f t="shared" si="11"/>
        <v>0.44571428571428573</v>
      </c>
    </row>
    <row r="130" spans="1:6" x14ac:dyDescent="0.35">
      <c r="A130" s="1">
        <v>2019</v>
      </c>
      <c r="B130" s="1">
        <v>129</v>
      </c>
      <c r="C130" s="2">
        <f t="shared" ref="C130:C161" si="12">DATE(A130,1,B130)</f>
        <v>43594</v>
      </c>
      <c r="D130" s="1">
        <v>0.67</v>
      </c>
      <c r="E130" s="1" t="str">
        <f t="shared" ref="E130:E161" si="13">IF(D130&lt;1,"Kering",IF(D130&lt;=5,"Ringan",IF(D130&lt;=20,"Sedang","Lebat")))</f>
        <v>Kering</v>
      </c>
      <c r="F130" s="3">
        <f t="shared" si="11"/>
        <v>0.51714285714285713</v>
      </c>
    </row>
    <row r="131" spans="1:6" x14ac:dyDescent="0.35">
      <c r="A131" s="1">
        <v>2019</v>
      </c>
      <c r="B131" s="1">
        <v>130</v>
      </c>
      <c r="C131" s="2">
        <f t="shared" si="12"/>
        <v>43595</v>
      </c>
      <c r="D131" s="1">
        <v>3.13</v>
      </c>
      <c r="E131" s="1" t="str">
        <f t="shared" si="13"/>
        <v>Ringan</v>
      </c>
      <c r="F131" s="3">
        <f t="shared" si="11"/>
        <v>0.87142857142857133</v>
      </c>
    </row>
    <row r="132" spans="1:6" x14ac:dyDescent="0.35">
      <c r="A132" s="1">
        <v>2019</v>
      </c>
      <c r="B132" s="1">
        <v>131</v>
      </c>
      <c r="C132" s="2">
        <f t="shared" si="12"/>
        <v>43596</v>
      </c>
      <c r="D132" s="1">
        <v>3.26</v>
      </c>
      <c r="E132" s="1" t="str">
        <f t="shared" si="13"/>
        <v>Ringan</v>
      </c>
      <c r="F132" s="3">
        <f t="shared" si="11"/>
        <v>1.1614285714285713</v>
      </c>
    </row>
    <row r="133" spans="1:6" x14ac:dyDescent="0.35">
      <c r="A133" s="1">
        <v>2019</v>
      </c>
      <c r="B133" s="1">
        <v>132</v>
      </c>
      <c r="C133" s="2">
        <f t="shared" si="12"/>
        <v>43597</v>
      </c>
      <c r="D133" s="1">
        <v>4.45</v>
      </c>
      <c r="E133" s="1" t="str">
        <f t="shared" si="13"/>
        <v>Ringan</v>
      </c>
      <c r="F133" s="3">
        <f t="shared" si="11"/>
        <v>1.7471428571428571</v>
      </c>
    </row>
    <row r="134" spans="1:6" x14ac:dyDescent="0.35">
      <c r="A134" s="1">
        <v>2019</v>
      </c>
      <c r="B134" s="1">
        <v>133</v>
      </c>
      <c r="C134" s="2">
        <f t="shared" si="12"/>
        <v>43598</v>
      </c>
      <c r="D134" s="1">
        <v>0.5</v>
      </c>
      <c r="E134" s="1" t="str">
        <f t="shared" si="13"/>
        <v>Kering</v>
      </c>
      <c r="F134" s="3">
        <f t="shared" si="11"/>
        <v>1.8128571428571429</v>
      </c>
    </row>
    <row r="135" spans="1:6" x14ac:dyDescent="0.35">
      <c r="A135" s="1">
        <v>2019</v>
      </c>
      <c r="B135" s="1">
        <v>134</v>
      </c>
      <c r="C135" s="2">
        <f t="shared" si="12"/>
        <v>43599</v>
      </c>
      <c r="D135" s="1">
        <v>0.43</v>
      </c>
      <c r="E135" s="1" t="str">
        <f t="shared" si="13"/>
        <v>Kering</v>
      </c>
      <c r="F135" s="3">
        <f t="shared" si="11"/>
        <v>1.8242857142857143</v>
      </c>
    </row>
    <row r="136" spans="1:6" x14ac:dyDescent="0.35">
      <c r="A136" s="1">
        <v>2019</v>
      </c>
      <c r="B136" s="1">
        <v>135</v>
      </c>
      <c r="C136" s="2">
        <f t="shared" si="12"/>
        <v>43600</v>
      </c>
      <c r="D136" s="1">
        <v>0.68</v>
      </c>
      <c r="E136" s="1" t="str">
        <f t="shared" si="13"/>
        <v>Kering</v>
      </c>
      <c r="F136" s="3">
        <f t="shared" ref="F136:F167" si="14">AVERAGE(D130:D136)</f>
        <v>1.8742857142857141</v>
      </c>
    </row>
    <row r="137" spans="1:6" x14ac:dyDescent="0.35">
      <c r="A137" s="1">
        <v>2019</v>
      </c>
      <c r="B137" s="1">
        <v>136</v>
      </c>
      <c r="C137" s="2">
        <f t="shared" si="12"/>
        <v>43601</v>
      </c>
      <c r="D137" s="1">
        <v>1.17</v>
      </c>
      <c r="E137" s="1" t="str">
        <f t="shared" si="13"/>
        <v>Ringan</v>
      </c>
      <c r="F137" s="3">
        <f t="shared" si="14"/>
        <v>1.9457142857142855</v>
      </c>
    </row>
    <row r="138" spans="1:6" x14ac:dyDescent="0.35">
      <c r="A138" s="1">
        <v>2019</v>
      </c>
      <c r="B138" s="1">
        <v>137</v>
      </c>
      <c r="C138" s="2">
        <f t="shared" si="12"/>
        <v>43602</v>
      </c>
      <c r="D138" s="1">
        <v>1.96</v>
      </c>
      <c r="E138" s="1" t="str">
        <f t="shared" si="13"/>
        <v>Ringan</v>
      </c>
      <c r="F138" s="3">
        <f t="shared" si="14"/>
        <v>1.7785714285714285</v>
      </c>
    </row>
    <row r="139" spans="1:6" x14ac:dyDescent="0.35">
      <c r="A139" s="1">
        <v>2019</v>
      </c>
      <c r="B139" s="1">
        <v>138</v>
      </c>
      <c r="C139" s="2">
        <f t="shared" si="12"/>
        <v>43603</v>
      </c>
      <c r="D139" s="1">
        <v>13.23</v>
      </c>
      <c r="E139" s="1" t="str">
        <f t="shared" si="13"/>
        <v>Sedang</v>
      </c>
      <c r="F139" s="3">
        <f t="shared" si="14"/>
        <v>3.2028571428571433</v>
      </c>
    </row>
    <row r="140" spans="1:6" x14ac:dyDescent="0.35">
      <c r="A140" s="1">
        <v>2019</v>
      </c>
      <c r="B140" s="1">
        <v>139</v>
      </c>
      <c r="C140" s="2">
        <f t="shared" si="12"/>
        <v>43604</v>
      </c>
      <c r="D140" s="1">
        <v>3.96</v>
      </c>
      <c r="E140" s="1" t="str">
        <f t="shared" si="13"/>
        <v>Ringan</v>
      </c>
      <c r="F140" s="3">
        <f t="shared" si="14"/>
        <v>3.132857142857143</v>
      </c>
    </row>
    <row r="141" spans="1:6" x14ac:dyDescent="0.35">
      <c r="A141" s="1">
        <v>2019</v>
      </c>
      <c r="B141" s="1">
        <v>140</v>
      </c>
      <c r="C141" s="2">
        <f t="shared" si="12"/>
        <v>43605</v>
      </c>
      <c r="D141" s="1">
        <v>3.9</v>
      </c>
      <c r="E141" s="1" t="str">
        <f t="shared" si="13"/>
        <v>Ringan</v>
      </c>
      <c r="F141" s="3">
        <f t="shared" si="14"/>
        <v>3.6185714285714283</v>
      </c>
    </row>
    <row r="142" spans="1:6" x14ac:dyDescent="0.35">
      <c r="A142" s="1">
        <v>2019</v>
      </c>
      <c r="B142" s="1">
        <v>141</v>
      </c>
      <c r="C142" s="2">
        <f t="shared" si="12"/>
        <v>43606</v>
      </c>
      <c r="D142" s="1">
        <v>3.25</v>
      </c>
      <c r="E142" s="1" t="str">
        <f t="shared" si="13"/>
        <v>Ringan</v>
      </c>
      <c r="F142" s="3">
        <f t="shared" si="14"/>
        <v>4.0214285714285714</v>
      </c>
    </row>
    <row r="143" spans="1:6" x14ac:dyDescent="0.35">
      <c r="A143" s="1">
        <v>2019</v>
      </c>
      <c r="B143" s="1">
        <v>142</v>
      </c>
      <c r="C143" s="2">
        <f t="shared" si="12"/>
        <v>43607</v>
      </c>
      <c r="D143" s="1">
        <v>13.13</v>
      </c>
      <c r="E143" s="1" t="str">
        <f t="shared" si="13"/>
        <v>Sedang</v>
      </c>
      <c r="F143" s="3">
        <f t="shared" si="14"/>
        <v>5.8</v>
      </c>
    </row>
    <row r="144" spans="1:6" x14ac:dyDescent="0.35">
      <c r="A144" s="1">
        <v>2019</v>
      </c>
      <c r="B144" s="1">
        <v>143</v>
      </c>
      <c r="C144" s="2">
        <f t="shared" si="12"/>
        <v>43608</v>
      </c>
      <c r="D144" s="1">
        <v>1.88</v>
      </c>
      <c r="E144" s="1" t="str">
        <f t="shared" si="13"/>
        <v>Ringan</v>
      </c>
      <c r="F144" s="3">
        <f t="shared" si="14"/>
        <v>5.9014285714285721</v>
      </c>
    </row>
    <row r="145" spans="1:6" x14ac:dyDescent="0.35">
      <c r="A145" s="1">
        <v>2019</v>
      </c>
      <c r="B145" s="1">
        <v>144</v>
      </c>
      <c r="C145" s="2">
        <f t="shared" si="12"/>
        <v>43609</v>
      </c>
      <c r="D145" s="1">
        <v>1.83</v>
      </c>
      <c r="E145" s="1" t="str">
        <f t="shared" si="13"/>
        <v>Ringan</v>
      </c>
      <c r="F145" s="3">
        <f t="shared" si="14"/>
        <v>5.8828571428571426</v>
      </c>
    </row>
    <row r="146" spans="1:6" x14ac:dyDescent="0.35">
      <c r="A146" s="1">
        <v>2019</v>
      </c>
      <c r="B146" s="1">
        <v>145</v>
      </c>
      <c r="C146" s="2">
        <f t="shared" si="12"/>
        <v>43610</v>
      </c>
      <c r="D146" s="1">
        <v>2.4700000000000002</v>
      </c>
      <c r="E146" s="1" t="str">
        <f t="shared" si="13"/>
        <v>Ringan</v>
      </c>
      <c r="F146" s="3">
        <f t="shared" si="14"/>
        <v>4.3457142857142861</v>
      </c>
    </row>
    <row r="147" spans="1:6" x14ac:dyDescent="0.35">
      <c r="A147" s="1">
        <v>2019</v>
      </c>
      <c r="B147" s="1">
        <v>146</v>
      </c>
      <c r="C147" s="2">
        <f t="shared" si="12"/>
        <v>43611</v>
      </c>
      <c r="D147" s="1">
        <v>11.31</v>
      </c>
      <c r="E147" s="1" t="str">
        <f t="shared" si="13"/>
        <v>Sedang</v>
      </c>
      <c r="F147" s="3">
        <f t="shared" si="14"/>
        <v>5.3957142857142859</v>
      </c>
    </row>
    <row r="148" spans="1:6" x14ac:dyDescent="0.35">
      <c r="A148" s="1">
        <v>2019</v>
      </c>
      <c r="B148" s="1">
        <v>147</v>
      </c>
      <c r="C148" s="2">
        <f t="shared" si="12"/>
        <v>43612</v>
      </c>
      <c r="D148" s="1">
        <v>10.31</v>
      </c>
      <c r="E148" s="1" t="str">
        <f t="shared" si="13"/>
        <v>Sedang</v>
      </c>
      <c r="F148" s="3">
        <f t="shared" si="14"/>
        <v>6.3114285714285723</v>
      </c>
    </row>
    <row r="149" spans="1:6" x14ac:dyDescent="0.35">
      <c r="A149" s="1">
        <v>2019</v>
      </c>
      <c r="B149" s="1">
        <v>148</v>
      </c>
      <c r="C149" s="2">
        <f t="shared" si="12"/>
        <v>43613</v>
      </c>
      <c r="D149" s="1">
        <v>3.09</v>
      </c>
      <c r="E149" s="1" t="str">
        <f t="shared" si="13"/>
        <v>Ringan</v>
      </c>
      <c r="F149" s="3">
        <f t="shared" si="14"/>
        <v>6.28857142857143</v>
      </c>
    </row>
    <row r="150" spans="1:6" x14ac:dyDescent="0.35">
      <c r="A150" s="1">
        <v>2019</v>
      </c>
      <c r="B150" s="1">
        <v>149</v>
      </c>
      <c r="C150" s="2">
        <f t="shared" si="12"/>
        <v>43614</v>
      </c>
      <c r="D150" s="1">
        <v>1.45</v>
      </c>
      <c r="E150" s="1" t="str">
        <f t="shared" si="13"/>
        <v>Ringan</v>
      </c>
      <c r="F150" s="3">
        <f t="shared" si="14"/>
        <v>4.62</v>
      </c>
    </row>
    <row r="151" spans="1:6" x14ac:dyDescent="0.35">
      <c r="A151" s="1">
        <v>2019</v>
      </c>
      <c r="B151" s="1">
        <v>150</v>
      </c>
      <c r="C151" s="2">
        <f t="shared" si="12"/>
        <v>43615</v>
      </c>
      <c r="D151" s="1">
        <v>1.21</v>
      </c>
      <c r="E151" s="1" t="str">
        <f t="shared" si="13"/>
        <v>Ringan</v>
      </c>
      <c r="F151" s="3">
        <f t="shared" si="14"/>
        <v>4.5242857142857149</v>
      </c>
    </row>
    <row r="152" spans="1:6" x14ac:dyDescent="0.35">
      <c r="A152" s="1">
        <v>2019</v>
      </c>
      <c r="B152" s="1">
        <v>151</v>
      </c>
      <c r="C152" s="2">
        <f t="shared" si="12"/>
        <v>43616</v>
      </c>
      <c r="D152" s="1">
        <v>12.14</v>
      </c>
      <c r="E152" s="1" t="str">
        <f t="shared" si="13"/>
        <v>Sedang</v>
      </c>
      <c r="F152" s="3">
        <f t="shared" si="14"/>
        <v>5.9971428571428573</v>
      </c>
    </row>
    <row r="153" spans="1:6" x14ac:dyDescent="0.35">
      <c r="A153" s="1">
        <v>2019</v>
      </c>
      <c r="B153" s="1">
        <v>152</v>
      </c>
      <c r="C153" s="2">
        <f t="shared" si="12"/>
        <v>43617</v>
      </c>
      <c r="D153" s="1">
        <v>6.64</v>
      </c>
      <c r="E153" s="1" t="str">
        <f t="shared" si="13"/>
        <v>Sedang</v>
      </c>
      <c r="F153" s="3">
        <f t="shared" si="14"/>
        <v>6.5928571428571434</v>
      </c>
    </row>
    <row r="154" spans="1:6" x14ac:dyDescent="0.35">
      <c r="A154" s="1">
        <v>2019</v>
      </c>
      <c r="B154" s="1">
        <v>153</v>
      </c>
      <c r="C154" s="2">
        <f t="shared" si="12"/>
        <v>43618</v>
      </c>
      <c r="D154" s="1">
        <v>31.89</v>
      </c>
      <c r="E154" s="1" t="str">
        <f t="shared" si="13"/>
        <v>Lebat</v>
      </c>
      <c r="F154" s="3">
        <f t="shared" si="14"/>
        <v>9.5328571428571411</v>
      </c>
    </row>
    <row r="155" spans="1:6" x14ac:dyDescent="0.35">
      <c r="A155" s="1">
        <v>2019</v>
      </c>
      <c r="B155" s="1">
        <v>154</v>
      </c>
      <c r="C155" s="2">
        <f t="shared" si="12"/>
        <v>43619</v>
      </c>
      <c r="D155" s="1">
        <v>10.63</v>
      </c>
      <c r="E155" s="1" t="str">
        <f t="shared" si="13"/>
        <v>Sedang</v>
      </c>
      <c r="F155" s="3">
        <f t="shared" si="14"/>
        <v>9.5785714285714274</v>
      </c>
    </row>
    <row r="156" spans="1:6" x14ac:dyDescent="0.35">
      <c r="A156" s="1">
        <v>2019</v>
      </c>
      <c r="B156" s="1">
        <v>155</v>
      </c>
      <c r="C156" s="2">
        <f t="shared" si="12"/>
        <v>43620</v>
      </c>
      <c r="D156" s="1">
        <v>5.49</v>
      </c>
      <c r="E156" s="1" t="str">
        <f t="shared" si="13"/>
        <v>Sedang</v>
      </c>
      <c r="F156" s="3">
        <f t="shared" si="14"/>
        <v>9.9214285714285726</v>
      </c>
    </row>
    <row r="157" spans="1:6" x14ac:dyDescent="0.35">
      <c r="A157" s="1">
        <v>2019</v>
      </c>
      <c r="B157" s="1">
        <v>156</v>
      </c>
      <c r="C157" s="2">
        <f t="shared" si="12"/>
        <v>43621</v>
      </c>
      <c r="D157" s="1">
        <v>8.8800000000000008</v>
      </c>
      <c r="E157" s="1" t="str">
        <f t="shared" si="13"/>
        <v>Sedang</v>
      </c>
      <c r="F157" s="3">
        <f t="shared" si="14"/>
        <v>10.982857142857142</v>
      </c>
    </row>
    <row r="158" spans="1:6" x14ac:dyDescent="0.35">
      <c r="A158" s="1">
        <v>2019</v>
      </c>
      <c r="B158" s="1">
        <v>157</v>
      </c>
      <c r="C158" s="2">
        <f t="shared" si="12"/>
        <v>43622</v>
      </c>
      <c r="D158" s="1">
        <v>1.2</v>
      </c>
      <c r="E158" s="1" t="str">
        <f t="shared" si="13"/>
        <v>Ringan</v>
      </c>
      <c r="F158" s="3">
        <f t="shared" si="14"/>
        <v>10.981428571428571</v>
      </c>
    </row>
    <row r="159" spans="1:6" x14ac:dyDescent="0.35">
      <c r="A159" s="1">
        <v>2019</v>
      </c>
      <c r="B159" s="1">
        <v>158</v>
      </c>
      <c r="C159" s="2">
        <f t="shared" si="12"/>
        <v>43623</v>
      </c>
      <c r="D159" s="1">
        <v>1.3</v>
      </c>
      <c r="E159" s="1" t="str">
        <f t="shared" si="13"/>
        <v>Ringan</v>
      </c>
      <c r="F159" s="3">
        <f t="shared" si="14"/>
        <v>9.4328571428571433</v>
      </c>
    </row>
    <row r="160" spans="1:6" x14ac:dyDescent="0.35">
      <c r="A160" s="1">
        <v>2019</v>
      </c>
      <c r="B160" s="1">
        <v>159</v>
      </c>
      <c r="C160" s="2">
        <f t="shared" si="12"/>
        <v>43624</v>
      </c>
      <c r="D160" s="1">
        <v>8.0299999999999994</v>
      </c>
      <c r="E160" s="1" t="str">
        <f t="shared" si="13"/>
        <v>Sedang</v>
      </c>
      <c r="F160" s="3">
        <f t="shared" si="14"/>
        <v>9.6314285714285717</v>
      </c>
    </row>
    <row r="161" spans="1:6" x14ac:dyDescent="0.35">
      <c r="A161" s="1">
        <v>2019</v>
      </c>
      <c r="B161" s="1">
        <v>160</v>
      </c>
      <c r="C161" s="2">
        <f t="shared" si="12"/>
        <v>43625</v>
      </c>
      <c r="D161" s="1">
        <v>4.92</v>
      </c>
      <c r="E161" s="1" t="str">
        <f t="shared" si="13"/>
        <v>Ringan</v>
      </c>
      <c r="F161" s="3">
        <f t="shared" si="14"/>
        <v>5.7785714285714294</v>
      </c>
    </row>
    <row r="162" spans="1:6" x14ac:dyDescent="0.35">
      <c r="A162" s="1">
        <v>2019</v>
      </c>
      <c r="B162" s="1">
        <v>161</v>
      </c>
      <c r="C162" s="2">
        <f t="shared" ref="C162:C193" si="15">DATE(A162,1,B162)</f>
        <v>43626</v>
      </c>
      <c r="D162" s="1">
        <v>2.12</v>
      </c>
      <c r="E162" s="1" t="str">
        <f t="shared" ref="E162:E193" si="16">IF(D162&lt;1,"Kering",IF(D162&lt;=5,"Ringan",IF(D162&lt;=20,"Sedang","Lebat")))</f>
        <v>Ringan</v>
      </c>
      <c r="F162" s="3">
        <f t="shared" si="14"/>
        <v>4.5628571428571432</v>
      </c>
    </row>
    <row r="163" spans="1:6" x14ac:dyDescent="0.35">
      <c r="A163" s="1">
        <v>2019</v>
      </c>
      <c r="B163" s="1">
        <v>162</v>
      </c>
      <c r="C163" s="2">
        <f t="shared" si="15"/>
        <v>43627</v>
      </c>
      <c r="D163" s="1">
        <v>1.66</v>
      </c>
      <c r="E163" s="1" t="str">
        <f t="shared" si="16"/>
        <v>Ringan</v>
      </c>
      <c r="F163" s="3">
        <f t="shared" si="14"/>
        <v>4.015714285714286</v>
      </c>
    </row>
    <row r="164" spans="1:6" x14ac:dyDescent="0.35">
      <c r="A164" s="1">
        <v>2019</v>
      </c>
      <c r="B164" s="1">
        <v>163</v>
      </c>
      <c r="C164" s="2">
        <f t="shared" si="15"/>
        <v>43628</v>
      </c>
      <c r="D164" s="1">
        <v>40.19</v>
      </c>
      <c r="E164" s="1" t="str">
        <f t="shared" si="16"/>
        <v>Lebat</v>
      </c>
      <c r="F164" s="3">
        <f t="shared" si="14"/>
        <v>8.4885714285714293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workbookViewId="0"/>
  </sheetViews>
  <sheetFormatPr defaultColWidth="8.6328125" defaultRowHeight="14.5" x14ac:dyDescent="0.35"/>
  <cols>
    <col min="1" max="1" width="24" customWidth="1"/>
    <col min="2" max="4" width="20" customWidth="1"/>
  </cols>
  <sheetData>
    <row r="1" spans="1:4" x14ac:dyDescent="0.35">
      <c r="A1" s="4" t="s">
        <v>6</v>
      </c>
      <c r="B1" s="4" t="s">
        <v>7</v>
      </c>
      <c r="C1" s="4"/>
      <c r="D1" s="4"/>
    </row>
    <row r="2" spans="1:4" x14ac:dyDescent="0.35">
      <c r="A2" s="1" t="s">
        <v>8</v>
      </c>
      <c r="B2" s="3">
        <f>SUM(Data!D2:D164)</f>
        <v>1061.1300000000001</v>
      </c>
      <c r="C2" s="1"/>
      <c r="D2" s="1"/>
    </row>
    <row r="3" spans="1:4" x14ac:dyDescent="0.35">
      <c r="A3" s="1" t="s">
        <v>9</v>
      </c>
      <c r="B3" s="3">
        <f>AVERAGE(Data!D2:D164)</f>
        <v>6.5100000000000007</v>
      </c>
      <c r="C3" s="1"/>
      <c r="D3" s="1"/>
    </row>
    <row r="4" spans="1:4" x14ac:dyDescent="0.35">
      <c r="A4" s="1" t="s">
        <v>10</v>
      </c>
      <c r="B4" s="3">
        <f>MAX(Data!D2:D164)</f>
        <v>45.97</v>
      </c>
      <c r="C4" s="1"/>
      <c r="D4" s="1"/>
    </row>
    <row r="5" spans="1:4" x14ac:dyDescent="0.35">
      <c r="A5" s="1" t="s">
        <v>11</v>
      </c>
      <c r="B5" s="2">
        <f>INDEX(Data!C2:C164,MATCH(B4,Data!D2:D164,0))</f>
        <v>43547</v>
      </c>
      <c r="C5" s="1"/>
      <c r="D5" s="1"/>
    </row>
    <row r="6" spans="1:4" x14ac:dyDescent="0.35">
      <c r="A6" s="1" t="s">
        <v>12</v>
      </c>
      <c r="B6" s="1">
        <f>COUNT(Data!D2:D164)</f>
        <v>163</v>
      </c>
      <c r="C6" s="1"/>
      <c r="D6" s="1"/>
    </row>
    <row r="7" spans="1:4" x14ac:dyDescent="0.35">
      <c r="A7" s="1" t="s">
        <v>13</v>
      </c>
      <c r="B7" s="1">
        <f>COUNTIF(Data!E2:E164,"Kering")</f>
        <v>38</v>
      </c>
      <c r="C7" s="1"/>
      <c r="D7" s="1"/>
    </row>
    <row r="8" spans="1:4" x14ac:dyDescent="0.35">
      <c r="A8" s="1" t="s">
        <v>14</v>
      </c>
      <c r="B8" s="1">
        <f>COUNTIF(Data!E2:E164,"Ringan")</f>
        <v>63</v>
      </c>
      <c r="C8" s="1"/>
      <c r="D8" s="1"/>
    </row>
    <row r="9" spans="1:4" x14ac:dyDescent="0.35">
      <c r="A9" s="1" t="s">
        <v>15</v>
      </c>
      <c r="B9" s="1">
        <f>COUNTIF(Data!E2:E164,"Sedang")</f>
        <v>49</v>
      </c>
      <c r="C9" s="1"/>
      <c r="D9" s="1"/>
    </row>
    <row r="10" spans="1:4" x14ac:dyDescent="0.35">
      <c r="A10" s="1" t="s">
        <v>16</v>
      </c>
      <c r="B10" s="1">
        <f>COUNTIF(Data!E2:E164,"Lebat")</f>
        <v>13</v>
      </c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4" t="s">
        <v>17</v>
      </c>
      <c r="B12" s="4" t="s">
        <v>8</v>
      </c>
      <c r="C12" s="4" t="s">
        <v>9</v>
      </c>
      <c r="D12" s="4" t="s">
        <v>18</v>
      </c>
    </row>
    <row r="13" spans="1:4" x14ac:dyDescent="0.35">
      <c r="A13" s="1" t="s">
        <v>19</v>
      </c>
      <c r="B13" s="5">
        <f>SUMPRODUCT((MONTH(Data!$C$2:$C$164)=1)*Data!$D$2:$D$164)</f>
        <v>199.23999999999995</v>
      </c>
      <c r="C13" s="3">
        <f t="shared" ref="C13:C18" si="0">B13/D13</f>
        <v>6.4270967741935472</v>
      </c>
      <c r="D13" s="1">
        <f>SUMPRODUCT(--(MONTH(Data!$C$2:$C$164)=1))</f>
        <v>31</v>
      </c>
    </row>
    <row r="14" spans="1:4" x14ac:dyDescent="0.35">
      <c r="A14" s="1" t="s">
        <v>20</v>
      </c>
      <c r="B14" s="5">
        <f>SUMPRODUCT((MONTH(Data!$C$2:$C$164)=2)*Data!$D$2:$D$164)</f>
        <v>210.11000000000004</v>
      </c>
      <c r="C14" s="3">
        <f t="shared" si="0"/>
        <v>7.5039285714285731</v>
      </c>
      <c r="D14" s="1">
        <f>SUMPRODUCT(--(MONTH(Data!$C$2:$C$164)=2))</f>
        <v>28</v>
      </c>
    </row>
    <row r="15" spans="1:4" x14ac:dyDescent="0.35">
      <c r="A15" s="1" t="s">
        <v>21</v>
      </c>
      <c r="B15" s="5">
        <f>SUMPRODUCT((MONTH(Data!$C$2:$C$164)=3)*Data!$D$2:$D$164)</f>
        <v>200.06000000000003</v>
      </c>
      <c r="C15" s="3">
        <f t="shared" si="0"/>
        <v>6.4535483870967756</v>
      </c>
      <c r="D15" s="1">
        <f>SUMPRODUCT(--(MONTH(Data!$C$2:$C$164)=3))</f>
        <v>31</v>
      </c>
    </row>
    <row r="16" spans="1:4" x14ac:dyDescent="0.35">
      <c r="A16" s="1" t="s">
        <v>22</v>
      </c>
      <c r="B16" s="5">
        <f>SUMPRODUCT((MONTH(Data!$C$2:$C$164)=4)*Data!$D$2:$D$164)</f>
        <v>225.75</v>
      </c>
      <c r="C16" s="3">
        <f t="shared" si="0"/>
        <v>7.5250000000000004</v>
      </c>
      <c r="D16" s="1">
        <f>SUMPRODUCT(--(MONTH(Data!$C$2:$C$164)=4))</f>
        <v>30</v>
      </c>
    </row>
    <row r="17" spans="1:4" x14ac:dyDescent="0.35">
      <c r="A17" s="1" t="s">
        <v>23</v>
      </c>
      <c r="B17" s="5">
        <f>SUMPRODUCT((MONTH(Data!$C$2:$C$164)=5)*Data!$D$2:$D$164)</f>
        <v>103.02000000000001</v>
      </c>
      <c r="C17" s="3">
        <f t="shared" si="0"/>
        <v>3.3232258064516134</v>
      </c>
      <c r="D17" s="1">
        <f>SUMPRODUCT(--(MONTH(Data!$C$2:$C$164)=5))</f>
        <v>31</v>
      </c>
    </row>
    <row r="18" spans="1:4" x14ac:dyDescent="0.35">
      <c r="A18" s="1" t="s">
        <v>24</v>
      </c>
      <c r="B18" s="5">
        <f>SUMPRODUCT((MONTH(Data!$C$2:$C$164)=6)*Data!$D$2:$D$164)</f>
        <v>122.95</v>
      </c>
      <c r="C18" s="3">
        <f t="shared" si="0"/>
        <v>10.245833333333334</v>
      </c>
      <c r="D18" s="1">
        <f>SUMPRODUCT(--(MONTH(Data!$C$2:$C$164)=6))</f>
        <v>12</v>
      </c>
    </row>
    <row r="19" spans="1:4" x14ac:dyDescent="0.35">
      <c r="A19" s="1"/>
      <c r="B19" s="1"/>
      <c r="C19" s="1"/>
      <c r="D19" s="1"/>
    </row>
    <row r="20" spans="1:4" x14ac:dyDescent="0.35">
      <c r="A20" s="1" t="s">
        <v>25</v>
      </c>
      <c r="B20" s="1"/>
      <c r="C20" s="1"/>
      <c r="D20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Tiara Mailafaizah</cp:lastModifiedBy>
  <cp:revision>0</cp:revision>
  <dcterms:created xsi:type="dcterms:W3CDTF">2026-10-27T10:30:40Z</dcterms:created>
  <dcterms:modified xsi:type="dcterms:W3CDTF">2026-10-27T10:34:33Z</dcterms:modified>
  <dc:language>en-US</dc:language>
</cp:coreProperties>
</file>